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料率マスタ" sheetId="2" state="visible" r:id="rId2"/>
    <sheet name="月次計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3" fontId="0" fillId="3" borderId="0" pivotButton="0" quotePrefix="0" xfId="0"/>
    <xf numFmtId="166" fontId="0" fillId="4" borderId="0" pivotButton="0" quotePrefix="0" xfId="0"/>
    <xf numFmtId="3" fontId="0" fillId="0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5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t="inlineStr">
        <is>
          <t>氏名</t>
        </is>
      </c>
      <c r="B2" s="2" t="inlineStr">
        <is>
          <t>サンプル 太郎</t>
        </is>
      </c>
      <c r="C2" t="inlineStr">
        <is>
          <t>サンプル(架空人物)</t>
        </is>
      </c>
    </row>
    <row r="3">
      <c r="A3" t="inlineStr">
        <is>
          <t>生年月日</t>
        </is>
      </c>
      <c r="B3" s="3" t="n">
        <v>31517</v>
      </c>
      <c r="C3" t="inlineStr">
        <is>
          <t>YYYY/MM/DD で入力。空のままだと全期間 介護該当=FALSE</t>
        </is>
      </c>
    </row>
    <row r="4">
      <c r="A4" t="inlineStr">
        <is>
          <t>標準報酬月額(現行)</t>
        </is>
      </c>
      <c r="B4" s="2" t="n">
        <v>88000</v>
      </c>
      <c r="C4" t="inlineStr">
        <is>
          <t>改定があれば月次計算 E列を該当月から書換</t>
        </is>
      </c>
    </row>
    <row r="5">
      <c r="A5" t="inlineStr">
        <is>
          <t>給与額面(現行)</t>
        </is>
      </c>
      <c r="B5" s="2" t="n">
        <v>83000</v>
      </c>
      <c r="C5" t="inlineStr">
        <is>
          <t>改定があれば月次計算 F列を該当月から書換</t>
        </is>
      </c>
    </row>
    <row r="6">
      <c r="A6" t="inlineStr">
        <is>
          <t>対応スコープ</t>
        </is>
      </c>
      <c r="B6" s="2" t="inlineStr">
        <is>
          <t>健保・介護(2号)・厚年・拠出金・支援金</t>
        </is>
      </c>
      <c r="C6" t="inlineStr">
        <is>
          <t>雇用/労災/賞与は対象外</t>
        </is>
      </c>
    </row>
    <row r="7">
      <c r="A7" t="inlineStr">
        <is>
          <t>行ラベル(年/月)の意味</t>
        </is>
      </c>
      <c r="B7" s="2" t="inlineStr">
        <is>
          <t>納付月</t>
        </is>
      </c>
      <c r="C7" t="inlineStr">
        <is>
          <t>例: 2026/4行 = 2026年4月に納付する分(=2026年3月分の保険料)。料率マスタの適用開始日もこの基準で記入。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4" t="inlineStr">
        <is>
          <t>適用開始日</t>
        </is>
      </c>
      <c r="B1" s="4" t="inlineStr">
        <is>
          <t>健保(介護なし)</t>
        </is>
      </c>
      <c r="C1" s="4" t="inlineStr">
        <is>
          <t>介護料率</t>
        </is>
      </c>
      <c r="D1" s="4" t="inlineStr">
        <is>
          <t>厚年料率</t>
        </is>
      </c>
      <c r="E1" s="4" t="inlineStr">
        <is>
          <t>拠出金率</t>
        </is>
      </c>
      <c r="F1" s="4" t="inlineStr">
        <is>
          <t>支援金率</t>
        </is>
      </c>
      <c r="G1" s="4" t="inlineStr">
        <is>
          <t>備考</t>
        </is>
      </c>
    </row>
    <row r="2">
      <c r="A2" s="5" t="n">
        <v>42522</v>
      </c>
      <c r="B2" s="6" t="n">
        <v>0.09959999999999999</v>
      </c>
      <c r="C2" s="6" t="n">
        <v>0.0158</v>
      </c>
      <c r="D2" s="6" t="n">
        <v>0.17828</v>
      </c>
      <c r="E2" s="6" t="n">
        <v>0.002</v>
      </c>
      <c r="F2" s="6" t="n">
        <v>0</v>
      </c>
      <c r="G2" t="inlineStr">
        <is>
          <t>2016年6月分(既存ファイル開始)</t>
        </is>
      </c>
    </row>
    <row r="3">
      <c r="A3" s="5" t="n">
        <v>42614</v>
      </c>
      <c r="B3" s="6" t="n">
        <v>0.09959999999999999</v>
      </c>
      <c r="C3" s="6" t="n">
        <v>0.0158</v>
      </c>
      <c r="D3" s="6" t="n">
        <v>0.18182</v>
      </c>
      <c r="E3" s="6" t="n">
        <v>0.002</v>
      </c>
      <c r="F3" s="6" t="n">
        <v>0</v>
      </c>
      <c r="G3" t="inlineStr">
        <is>
          <t>2016年9月分・厚年改定</t>
        </is>
      </c>
    </row>
    <row r="4">
      <c r="A4" s="5" t="n">
        <v>42795</v>
      </c>
      <c r="B4" s="6" t="n">
        <v>0.09909999999999999</v>
      </c>
      <c r="C4" s="6" t="n">
        <v>0.0165</v>
      </c>
      <c r="D4" s="6" t="n">
        <v>0.18182</v>
      </c>
      <c r="E4" s="6" t="n">
        <v>0.002</v>
      </c>
      <c r="F4" s="6" t="n">
        <v>0</v>
      </c>
      <c r="G4" t="inlineStr">
        <is>
          <t>2017年3月分・健保改定</t>
        </is>
      </c>
    </row>
    <row r="5">
      <c r="A5" s="5" t="n">
        <v>42826</v>
      </c>
      <c r="B5" s="6" t="n">
        <v>0.09909999999999999</v>
      </c>
      <c r="C5" s="6" t="n">
        <v>0.0165</v>
      </c>
      <c r="D5" s="6" t="n">
        <v>0.18182</v>
      </c>
      <c r="E5" s="6" t="n">
        <v>0.0023</v>
      </c>
      <c r="F5" s="6" t="n">
        <v>0</v>
      </c>
      <c r="G5" t="inlineStr">
        <is>
          <t>2017年4月分・拠出金改定</t>
        </is>
      </c>
    </row>
    <row r="6">
      <c r="A6" s="5" t="n">
        <v>42979</v>
      </c>
      <c r="B6" s="6" t="n">
        <v>0.09909999999999999</v>
      </c>
      <c r="C6" s="6" t="n">
        <v>0.0165</v>
      </c>
      <c r="D6" s="6" t="n">
        <v>0.183</v>
      </c>
      <c r="E6" s="6" t="n">
        <v>0.0023</v>
      </c>
      <c r="F6" s="6" t="n">
        <v>0</v>
      </c>
      <c r="G6" t="inlineStr">
        <is>
          <t>2017年9月分・厚年18.3%固定</t>
        </is>
      </c>
    </row>
    <row r="7">
      <c r="A7" s="5" t="n">
        <v>43160</v>
      </c>
      <c r="B7" s="6" t="n">
        <v>0.099</v>
      </c>
      <c r="C7" s="6" t="n">
        <v>0.0157</v>
      </c>
      <c r="D7" s="6" t="n">
        <v>0.183</v>
      </c>
      <c r="E7" s="6" t="n">
        <v>0.0023</v>
      </c>
      <c r="F7" s="6" t="n">
        <v>0</v>
      </c>
      <c r="G7" t="inlineStr">
        <is>
          <t>2018年3月分・健保改定</t>
        </is>
      </c>
    </row>
    <row r="8">
      <c r="A8" s="5" t="n">
        <v>43525</v>
      </c>
      <c r="B8" s="6" t="n">
        <v>0.099</v>
      </c>
      <c r="C8" s="6" t="n">
        <v>0.0173</v>
      </c>
      <c r="D8" s="6" t="n">
        <v>0.183</v>
      </c>
      <c r="E8" s="6" t="n">
        <v>0.0023</v>
      </c>
      <c r="F8" s="6" t="n">
        <v>0</v>
      </c>
      <c r="G8" t="inlineStr">
        <is>
          <t>2019年3月分・介護改定</t>
        </is>
      </c>
    </row>
    <row r="9">
      <c r="A9" s="5" t="n">
        <v>43586</v>
      </c>
      <c r="B9" s="6" t="n">
        <v>0.099</v>
      </c>
      <c r="C9" s="6" t="n">
        <v>0.0173</v>
      </c>
      <c r="D9" s="6" t="n">
        <v>0.183</v>
      </c>
      <c r="E9" s="6" t="n">
        <v>0.0034</v>
      </c>
      <c r="F9" s="6" t="n">
        <v>0</v>
      </c>
      <c r="G9" t="inlineStr">
        <is>
          <t>2019年5月分・拠出金改定</t>
        </is>
      </c>
    </row>
    <row r="10">
      <c r="A10" s="5" t="n">
        <v>43891</v>
      </c>
      <c r="B10" s="6" t="n">
        <v>0.0987</v>
      </c>
      <c r="C10" s="6" t="n">
        <v>0.0179</v>
      </c>
      <c r="D10" s="6" t="n">
        <v>0.183</v>
      </c>
      <c r="E10" s="6" t="n">
        <v>0.0034</v>
      </c>
      <c r="F10" s="6" t="n">
        <v>0</v>
      </c>
      <c r="G10" t="inlineStr">
        <is>
          <t>2020年3月分・健保改定</t>
        </is>
      </c>
    </row>
    <row r="11">
      <c r="A11" s="5" t="n">
        <v>43922</v>
      </c>
      <c r="B11" s="6" t="n">
        <v>0.0987</v>
      </c>
      <c r="C11" s="6" t="n">
        <v>0.0179</v>
      </c>
      <c r="D11" s="6" t="n">
        <v>0.183</v>
      </c>
      <c r="E11" s="6" t="n">
        <v>0.0036</v>
      </c>
      <c r="F11" s="6" t="n">
        <v>0</v>
      </c>
      <c r="G11" t="inlineStr">
        <is>
          <t>2020年4月分・拠出金改定</t>
        </is>
      </c>
    </row>
    <row r="12">
      <c r="A12" s="5" t="n">
        <v>44287</v>
      </c>
      <c r="B12" s="6" t="n">
        <v>0.0984</v>
      </c>
      <c r="C12" s="6" t="n">
        <v>0.018</v>
      </c>
      <c r="D12" s="6" t="n">
        <v>0.183</v>
      </c>
      <c r="E12" s="6" t="n">
        <v>0.0036</v>
      </c>
      <c r="F12" s="6" t="n">
        <v>0</v>
      </c>
      <c r="G12" t="inlineStr">
        <is>
          <t>2021年4月分・健保改定</t>
        </is>
      </c>
    </row>
    <row r="13">
      <c r="A13" s="5" t="n">
        <v>44621</v>
      </c>
      <c r="B13" s="6" t="n">
        <v>0.09810000000000001</v>
      </c>
      <c r="C13" s="6" t="n">
        <v>0.0164</v>
      </c>
      <c r="D13" s="6" t="n">
        <v>0.183</v>
      </c>
      <c r="E13" s="6" t="n">
        <v>0.0036</v>
      </c>
      <c r="F13" s="6" t="n">
        <v>0</v>
      </c>
      <c r="G13" t="inlineStr">
        <is>
          <t>2022年3月分・健保改定</t>
        </is>
      </c>
    </row>
    <row r="14">
      <c r="A14" s="5" t="n">
        <v>44986</v>
      </c>
      <c r="B14" s="6" t="n">
        <v>0.1</v>
      </c>
      <c r="C14" s="6" t="n">
        <v>0.0182</v>
      </c>
      <c r="D14" s="6" t="n">
        <v>0.183</v>
      </c>
      <c r="E14" s="6" t="n">
        <v>0.0036</v>
      </c>
      <c r="F14" s="6" t="n">
        <v>0</v>
      </c>
      <c r="G14" t="inlineStr">
        <is>
          <t>2023年3月分・健保改定</t>
        </is>
      </c>
    </row>
    <row r="15">
      <c r="A15" s="5" t="n">
        <v>45383</v>
      </c>
      <c r="B15" s="6" t="n">
        <v>0.0998</v>
      </c>
      <c r="C15" s="6" t="n">
        <v>0.016</v>
      </c>
      <c r="D15" s="6" t="n">
        <v>0.183</v>
      </c>
      <c r="E15" s="6" t="n">
        <v>0.0036</v>
      </c>
      <c r="F15" s="6" t="n">
        <v>0</v>
      </c>
      <c r="G15" t="inlineStr">
        <is>
          <t>2024年4月分・健保改定</t>
        </is>
      </c>
    </row>
    <row r="16">
      <c r="A16" s="5" t="n">
        <v>45748</v>
      </c>
      <c r="B16" s="6" t="n">
        <v>0.09909999999999999</v>
      </c>
      <c r="C16" s="6" t="n">
        <v>0.0159</v>
      </c>
      <c r="D16" s="6" t="n">
        <v>0.183</v>
      </c>
      <c r="E16" s="6" t="n">
        <v>0.0036</v>
      </c>
      <c r="F16" s="6" t="n">
        <v>0</v>
      </c>
      <c r="G16" t="inlineStr">
        <is>
          <t>2025年4月分・健保改定</t>
        </is>
      </c>
    </row>
    <row r="17">
      <c r="A17" s="5" t="n">
        <v>46113</v>
      </c>
      <c r="B17" s="6" t="n">
        <v>0.0985</v>
      </c>
      <c r="C17" s="6" t="n">
        <v>0.0162</v>
      </c>
      <c r="D17" s="6" t="n">
        <v>0.183</v>
      </c>
      <c r="E17" s="6" t="n">
        <v>0.0036</v>
      </c>
      <c r="F17" s="6" t="n">
        <v>0</v>
      </c>
      <c r="G17" t="inlineStr">
        <is>
          <t>2026年4月納付分(3月分)・健保改定</t>
        </is>
      </c>
    </row>
    <row r="18">
      <c r="A18" s="5" t="n">
        <v>46143</v>
      </c>
      <c r="B18" s="6" t="n">
        <v>0.0985</v>
      </c>
      <c r="C18" s="6" t="n">
        <v>0.0162</v>
      </c>
      <c r="D18" s="6" t="n">
        <v>0.183</v>
      </c>
      <c r="E18" s="6" t="n">
        <v>0.0036</v>
      </c>
      <c r="F18" s="6" t="n">
        <v>0.0023</v>
      </c>
      <c r="G18" t="inlineStr">
        <is>
          <t>2026年5月納付分(4月分)・支援金開始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8" customWidth="1" min="3" max="3"/>
    <col width="9" customWidth="1" min="4" max="4"/>
    <col width="13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5" customWidth="1" min="17" max="17"/>
    <col width="16" customWidth="1" min="18" max="18"/>
    <col width="16" customWidth="1" min="19" max="19"/>
    <col width="13" customWidth="1" min="20" max="20"/>
    <col width="12" customWidth="1" min="21" max="21"/>
    <col width="13" customWidth="1" min="22" max="22"/>
    <col width="14" customWidth="1" min="23" max="23"/>
    <col width="14" customWidth="1" min="24" max="24"/>
    <col width="14" customWidth="1" min="25" max="25"/>
    <col width="14" customWidth="1" min="26" max="26"/>
    <col width="16" customWidth="1" min="27" max="27"/>
    <col width="12" customWidth="1" min="28" max="28"/>
    <col width="11" customWidth="1" min="29" max="29"/>
    <col width="11" customWidth="1" min="30" max="30"/>
  </cols>
  <sheetData>
    <row r="1">
      <c r="A1" s="4" t="inlineStr">
        <is>
          <t>年</t>
        </is>
      </c>
      <c r="B1" s="4" t="inlineStr">
        <is>
          <t>月</t>
        </is>
      </c>
      <c r="C1" s="4" t="inlineStr">
        <is>
          <t>満年齢</t>
        </is>
      </c>
      <c r="D1" s="4" t="inlineStr">
        <is>
          <t>介護該当</t>
        </is>
      </c>
      <c r="E1" s="4" t="inlineStr">
        <is>
          <t>標準報酬月額</t>
        </is>
      </c>
      <c r="F1" s="4" t="inlineStr">
        <is>
          <t>給与額面</t>
        </is>
      </c>
      <c r="G1" s="4" t="inlineStr">
        <is>
          <t>健保(介護なし)</t>
        </is>
      </c>
      <c r="H1" s="4" t="inlineStr">
        <is>
          <t>介護料率</t>
        </is>
      </c>
      <c r="I1" s="4" t="inlineStr">
        <is>
          <t>厚年料率</t>
        </is>
      </c>
      <c r="J1" s="4" t="inlineStr">
        <is>
          <t>拠出金率</t>
        </is>
      </c>
      <c r="K1" s="4" t="inlineStr">
        <is>
          <t>支援金率</t>
        </is>
      </c>
      <c r="L1" s="4" t="inlineStr">
        <is>
          <t>健保適用料率</t>
        </is>
      </c>
      <c r="M1" s="4" t="inlineStr">
        <is>
          <t>健保(全額)</t>
        </is>
      </c>
      <c r="N1" s="4" t="inlineStr">
        <is>
          <t>支援金(全額)</t>
        </is>
      </c>
      <c r="O1" s="4" t="inlineStr">
        <is>
          <t>厚年(全額)</t>
        </is>
      </c>
      <c r="P1" s="4" t="inlineStr">
        <is>
          <t>拠出金(全額)</t>
        </is>
      </c>
      <c r="Q1" s="4" t="inlineStr">
        <is>
          <t>協会けんぽ(全額)</t>
        </is>
      </c>
      <c r="R1" s="4" t="inlineStr">
        <is>
          <t>協会けんぽ・社員</t>
        </is>
      </c>
      <c r="S1" s="4" t="inlineStr">
        <is>
          <t>協会けんぽ・事業主</t>
        </is>
      </c>
      <c r="T1" s="4" t="inlineStr">
        <is>
          <t>厚年(全額・円)</t>
        </is>
      </c>
      <c r="U1" s="4" t="inlineStr">
        <is>
          <t>厚年・社員</t>
        </is>
      </c>
      <c r="V1" s="4" t="inlineStr">
        <is>
          <t>厚年・事業主</t>
        </is>
      </c>
      <c r="W1" s="4" t="inlineStr">
        <is>
          <t>拠出金(全額・円)</t>
        </is>
      </c>
      <c r="X1" s="4" t="inlineStr">
        <is>
          <t>拠出金・事業主</t>
        </is>
      </c>
      <c r="Y1" s="4" t="inlineStr">
        <is>
          <t>社員天引き合計</t>
        </is>
      </c>
      <c r="Z1" s="4" t="inlineStr">
        <is>
          <t>事業主負担合計</t>
        </is>
      </c>
      <c r="AA1" s="4" t="inlineStr">
        <is>
          <t>法定福利費(納付額)</t>
        </is>
      </c>
      <c r="AB1" s="4" t="inlineStr">
        <is>
          <t>差引支給額</t>
        </is>
      </c>
      <c r="AC1" s="4" t="inlineStr">
        <is>
          <t>通知額</t>
        </is>
      </c>
      <c r="AD1" s="4" t="inlineStr">
        <is>
          <t>通知額差分</t>
        </is>
      </c>
      <c r="AE1" s="7" t="inlineStr">
        <is>
          <t>凡例: 黄=入力 / 灰=自動算出 / 緑=検算  ※介護該当は設定!B3 の生年月日から自動判定  ※納付額は告知書(協会けんぽ=健保+介護+支援金 / 年金機構=厚年+拠出金)単位で合算後切捨て</t>
        </is>
      </c>
    </row>
    <row r="2">
      <c r="A2" s="2" t="n">
        <v>2016</v>
      </c>
      <c r="B2" s="2" t="n">
        <v>6</v>
      </c>
      <c r="C2" s="8">
        <f>IF(設定!$B$3="","",DATEDIF(設定!$B$3,EOMONTH(DATE(A2,B2,1),0),"Y"))</f>
        <v/>
      </c>
      <c r="D2" s="8">
        <f>IF(設定!$B$3="",FALSE,AND(EOMONTH(DATE(A2,B2,1),0)&gt;=DATE(YEAR(設定!$B$3)+40,MONTH(設定!$B$3),DAY(設定!$B$3))-1,EOMONTH(DATE(A2,B2,1),0)&lt;DATE(YEAR(設定!$B$3)+65,MONTH(設定!$B$3),DAY(設定!$B$3))-1))</f>
        <v/>
      </c>
      <c r="E2" s="9" t="n">
        <v>88000</v>
      </c>
      <c r="F2" s="9" t="n">
        <v>83000</v>
      </c>
      <c r="G2" s="10">
        <f>XLOOKUP(DATE(A2,B2,1),料率マスタ!$A:$A,料率マスタ!$B:$B,,-1,-1)</f>
        <v/>
      </c>
      <c r="H2" s="10">
        <f>XLOOKUP(DATE(A2,B2,1),料率マスタ!$A:$A,料率マスタ!$C:$C,,-1,-1)</f>
        <v/>
      </c>
      <c r="I2" s="10">
        <f>XLOOKUP(DATE(A2,B2,1),料率マスタ!$A:$A,料率マスタ!$D:$D,,-1,-1)</f>
        <v/>
      </c>
      <c r="J2" s="10">
        <f>XLOOKUP(DATE(A2,B2,1),料率マスタ!$A:$A,料率マスタ!$E:$E,,-1,-1)</f>
        <v/>
      </c>
      <c r="K2" s="10">
        <f>XLOOKUP(DATE(A2,B2,1),料率マスタ!$A:$A,料率マスタ!$F:$F,,-1,-1)</f>
        <v/>
      </c>
      <c r="L2" s="10">
        <f>G2+IF(D2,H2,0)</f>
        <v/>
      </c>
      <c r="M2" s="11">
        <f>E2*L2</f>
        <v/>
      </c>
      <c r="N2" s="11">
        <f>E2*K2</f>
        <v/>
      </c>
      <c r="O2" s="11">
        <f>E2*I2</f>
        <v/>
      </c>
      <c r="P2" s="11">
        <f>ROUNDDOWN(E2*J2,0)</f>
        <v/>
      </c>
      <c r="Q2" s="11">
        <f>ROUNDDOWN(ROUND(M2+N2,2),0)</f>
        <v/>
      </c>
      <c r="R2" s="11">
        <f>INT(M2/2)+IF(MOD(M2,2)&gt;1,1,0)+INT(N2/2)+IF(MOD(N2,2)&gt;1,1,0)</f>
        <v/>
      </c>
      <c r="S2" s="11">
        <f>Q2-R2</f>
        <v/>
      </c>
      <c r="T2" s="11">
        <f>ROUNDDOWN(O2,0)</f>
        <v/>
      </c>
      <c r="U2" s="11">
        <f>INT(O2/2)+IF(MOD(O2,2)&gt;1,1,0)</f>
        <v/>
      </c>
      <c r="V2" s="11">
        <f>T2-U2</f>
        <v/>
      </c>
      <c r="W2" s="11">
        <f>P2</f>
        <v/>
      </c>
      <c r="X2" s="11">
        <f>W2</f>
        <v/>
      </c>
      <c r="Y2" s="11">
        <f>R2+U2</f>
        <v/>
      </c>
      <c r="Z2" s="11">
        <f>S2+V2+X2</f>
        <v/>
      </c>
      <c r="AA2" s="11">
        <f>Q2+T2+W2</f>
        <v/>
      </c>
      <c r="AB2" s="11">
        <f>F2-Y2</f>
        <v/>
      </c>
      <c r="AC2" s="9" t="n"/>
      <c r="AD2" s="12">
        <f>IF(AC2="","",AA2-AC2)</f>
        <v/>
      </c>
    </row>
    <row r="3">
      <c r="A3" s="2" t="n">
        <v>2016</v>
      </c>
      <c r="B3" s="2" t="n">
        <v>7</v>
      </c>
      <c r="C3" s="8">
        <f>IF(設定!$B$3="","",DATEDIF(設定!$B$3,EOMONTH(DATE(A3,B3,1),0),"Y"))</f>
        <v/>
      </c>
      <c r="D3" s="8">
        <f>IF(設定!$B$3="",FALSE,AND(EOMONTH(DATE(A3,B3,1),0)&gt;=DATE(YEAR(設定!$B$3)+40,MONTH(設定!$B$3),DAY(設定!$B$3))-1,EOMONTH(DATE(A3,B3,1),0)&lt;DATE(YEAR(設定!$B$3)+65,MONTH(設定!$B$3),DAY(設定!$B$3))-1))</f>
        <v/>
      </c>
      <c r="E3" s="9" t="n">
        <v>88000</v>
      </c>
      <c r="F3" s="9" t="n">
        <v>83000</v>
      </c>
      <c r="G3" s="10">
        <f>XLOOKUP(DATE(A3,B3,1),料率マスタ!$A:$A,料率マスタ!$B:$B,,-1,-1)</f>
        <v/>
      </c>
      <c r="H3" s="10">
        <f>XLOOKUP(DATE(A3,B3,1),料率マスタ!$A:$A,料率マスタ!$C:$C,,-1,-1)</f>
        <v/>
      </c>
      <c r="I3" s="10">
        <f>XLOOKUP(DATE(A3,B3,1),料率マスタ!$A:$A,料率マスタ!$D:$D,,-1,-1)</f>
        <v/>
      </c>
      <c r="J3" s="10">
        <f>XLOOKUP(DATE(A3,B3,1),料率マスタ!$A:$A,料率マスタ!$E:$E,,-1,-1)</f>
        <v/>
      </c>
      <c r="K3" s="10">
        <f>XLOOKUP(DATE(A3,B3,1),料率マスタ!$A:$A,料率マスタ!$F:$F,,-1,-1)</f>
        <v/>
      </c>
      <c r="L3" s="10">
        <f>G3+IF(D3,H3,0)</f>
        <v/>
      </c>
      <c r="M3" s="11">
        <f>E3*L3</f>
        <v/>
      </c>
      <c r="N3" s="11">
        <f>E3*K3</f>
        <v/>
      </c>
      <c r="O3" s="11">
        <f>E3*I3</f>
        <v/>
      </c>
      <c r="P3" s="11">
        <f>ROUNDDOWN(E3*J3,0)</f>
        <v/>
      </c>
      <c r="Q3" s="11">
        <f>ROUNDDOWN(ROUND(M3+N3,2),0)</f>
        <v/>
      </c>
      <c r="R3" s="11">
        <f>INT(M3/2)+IF(MOD(M3,2)&gt;1,1,0)+INT(N3/2)+IF(MOD(N3,2)&gt;1,1,0)</f>
        <v/>
      </c>
      <c r="S3" s="11">
        <f>Q3-R3</f>
        <v/>
      </c>
      <c r="T3" s="11">
        <f>ROUNDDOWN(O3,0)</f>
        <v/>
      </c>
      <c r="U3" s="11">
        <f>INT(O3/2)+IF(MOD(O3,2)&gt;1,1,0)</f>
        <v/>
      </c>
      <c r="V3" s="11">
        <f>T3-U3</f>
        <v/>
      </c>
      <c r="W3" s="11">
        <f>P3</f>
        <v/>
      </c>
      <c r="X3" s="11">
        <f>W3</f>
        <v/>
      </c>
      <c r="Y3" s="11">
        <f>R3+U3</f>
        <v/>
      </c>
      <c r="Z3" s="11">
        <f>S3+V3+X3</f>
        <v/>
      </c>
      <c r="AA3" s="11">
        <f>Q3+T3+W3</f>
        <v/>
      </c>
      <c r="AB3" s="11">
        <f>F3-Y3</f>
        <v/>
      </c>
      <c r="AC3" s="9" t="n"/>
      <c r="AD3" s="12">
        <f>IF(AC3="","",AA3-AC3)</f>
        <v/>
      </c>
    </row>
    <row r="4">
      <c r="A4" s="2" t="n">
        <v>2016</v>
      </c>
      <c r="B4" s="2" t="n">
        <v>8</v>
      </c>
      <c r="C4" s="8">
        <f>IF(設定!$B$3="","",DATEDIF(設定!$B$3,EOMONTH(DATE(A4,B4,1),0),"Y"))</f>
        <v/>
      </c>
      <c r="D4" s="8">
        <f>IF(設定!$B$3="",FALSE,AND(EOMONTH(DATE(A4,B4,1),0)&gt;=DATE(YEAR(設定!$B$3)+40,MONTH(設定!$B$3),DAY(設定!$B$3))-1,EOMONTH(DATE(A4,B4,1),0)&lt;DATE(YEAR(設定!$B$3)+65,MONTH(設定!$B$3),DAY(設定!$B$3))-1))</f>
        <v/>
      </c>
      <c r="E4" s="9" t="n">
        <v>88000</v>
      </c>
      <c r="F4" s="9" t="n">
        <v>83000</v>
      </c>
      <c r="G4" s="10">
        <f>XLOOKUP(DATE(A4,B4,1),料率マスタ!$A:$A,料率マスタ!$B:$B,,-1,-1)</f>
        <v/>
      </c>
      <c r="H4" s="10">
        <f>XLOOKUP(DATE(A4,B4,1),料率マスタ!$A:$A,料率マスタ!$C:$C,,-1,-1)</f>
        <v/>
      </c>
      <c r="I4" s="10">
        <f>XLOOKUP(DATE(A4,B4,1),料率マスタ!$A:$A,料率マスタ!$D:$D,,-1,-1)</f>
        <v/>
      </c>
      <c r="J4" s="10">
        <f>XLOOKUP(DATE(A4,B4,1),料率マスタ!$A:$A,料率マスタ!$E:$E,,-1,-1)</f>
        <v/>
      </c>
      <c r="K4" s="10">
        <f>XLOOKUP(DATE(A4,B4,1),料率マスタ!$A:$A,料率マスタ!$F:$F,,-1,-1)</f>
        <v/>
      </c>
      <c r="L4" s="10">
        <f>G4+IF(D4,H4,0)</f>
        <v/>
      </c>
      <c r="M4" s="11">
        <f>E4*L4</f>
        <v/>
      </c>
      <c r="N4" s="11">
        <f>E4*K4</f>
        <v/>
      </c>
      <c r="O4" s="11">
        <f>E4*I4</f>
        <v/>
      </c>
      <c r="P4" s="11">
        <f>ROUNDDOWN(E4*J4,0)</f>
        <v/>
      </c>
      <c r="Q4" s="11">
        <f>ROUNDDOWN(ROUND(M4+N4,2),0)</f>
        <v/>
      </c>
      <c r="R4" s="11">
        <f>INT(M4/2)+IF(MOD(M4,2)&gt;1,1,0)+INT(N4/2)+IF(MOD(N4,2)&gt;1,1,0)</f>
        <v/>
      </c>
      <c r="S4" s="11">
        <f>Q4-R4</f>
        <v/>
      </c>
      <c r="T4" s="11">
        <f>ROUNDDOWN(O4,0)</f>
        <v/>
      </c>
      <c r="U4" s="11">
        <f>INT(O4/2)+IF(MOD(O4,2)&gt;1,1,0)</f>
        <v/>
      </c>
      <c r="V4" s="11">
        <f>T4-U4</f>
        <v/>
      </c>
      <c r="W4" s="11">
        <f>P4</f>
        <v/>
      </c>
      <c r="X4" s="11">
        <f>W4</f>
        <v/>
      </c>
      <c r="Y4" s="11">
        <f>R4+U4</f>
        <v/>
      </c>
      <c r="Z4" s="11">
        <f>S4+V4+X4</f>
        <v/>
      </c>
      <c r="AA4" s="11">
        <f>Q4+T4+W4</f>
        <v/>
      </c>
      <c r="AB4" s="11">
        <f>F4-Y4</f>
        <v/>
      </c>
      <c r="AC4" s="9" t="n"/>
      <c r="AD4" s="12">
        <f>IF(AC4="","",AA4-AC4)</f>
        <v/>
      </c>
    </row>
    <row r="5">
      <c r="A5" s="2" t="n">
        <v>2016</v>
      </c>
      <c r="B5" s="2" t="n">
        <v>9</v>
      </c>
      <c r="C5" s="8">
        <f>IF(設定!$B$3="","",DATEDIF(設定!$B$3,EOMONTH(DATE(A5,B5,1),0),"Y"))</f>
        <v/>
      </c>
      <c r="D5" s="8">
        <f>IF(設定!$B$3="",FALSE,AND(EOMONTH(DATE(A5,B5,1),0)&gt;=DATE(YEAR(設定!$B$3)+40,MONTH(設定!$B$3),DAY(設定!$B$3))-1,EOMONTH(DATE(A5,B5,1),0)&lt;DATE(YEAR(設定!$B$3)+65,MONTH(設定!$B$3),DAY(設定!$B$3))-1))</f>
        <v/>
      </c>
      <c r="E5" s="9" t="n">
        <v>88000</v>
      </c>
      <c r="F5" s="9" t="n">
        <v>83000</v>
      </c>
      <c r="G5" s="10">
        <f>XLOOKUP(DATE(A5,B5,1),料率マスタ!$A:$A,料率マスタ!$B:$B,,-1,-1)</f>
        <v/>
      </c>
      <c r="H5" s="10">
        <f>XLOOKUP(DATE(A5,B5,1),料率マスタ!$A:$A,料率マスタ!$C:$C,,-1,-1)</f>
        <v/>
      </c>
      <c r="I5" s="10">
        <f>XLOOKUP(DATE(A5,B5,1),料率マスタ!$A:$A,料率マスタ!$D:$D,,-1,-1)</f>
        <v/>
      </c>
      <c r="J5" s="10">
        <f>XLOOKUP(DATE(A5,B5,1),料率マスタ!$A:$A,料率マスタ!$E:$E,,-1,-1)</f>
        <v/>
      </c>
      <c r="K5" s="10">
        <f>XLOOKUP(DATE(A5,B5,1),料率マスタ!$A:$A,料率マスタ!$F:$F,,-1,-1)</f>
        <v/>
      </c>
      <c r="L5" s="10">
        <f>G5+IF(D5,H5,0)</f>
        <v/>
      </c>
      <c r="M5" s="11">
        <f>E5*L5</f>
        <v/>
      </c>
      <c r="N5" s="11">
        <f>E5*K5</f>
        <v/>
      </c>
      <c r="O5" s="11">
        <f>E5*I5</f>
        <v/>
      </c>
      <c r="P5" s="11">
        <f>ROUNDDOWN(E5*J5,0)</f>
        <v/>
      </c>
      <c r="Q5" s="11">
        <f>ROUNDDOWN(ROUND(M5+N5,2),0)</f>
        <v/>
      </c>
      <c r="R5" s="11">
        <f>INT(M5/2)+IF(MOD(M5,2)&gt;1,1,0)+INT(N5/2)+IF(MOD(N5,2)&gt;1,1,0)</f>
        <v/>
      </c>
      <c r="S5" s="11">
        <f>Q5-R5</f>
        <v/>
      </c>
      <c r="T5" s="11">
        <f>ROUNDDOWN(O5,0)</f>
        <v/>
      </c>
      <c r="U5" s="11">
        <f>INT(O5/2)+IF(MOD(O5,2)&gt;1,1,0)</f>
        <v/>
      </c>
      <c r="V5" s="11">
        <f>T5-U5</f>
        <v/>
      </c>
      <c r="W5" s="11">
        <f>P5</f>
        <v/>
      </c>
      <c r="X5" s="11">
        <f>W5</f>
        <v/>
      </c>
      <c r="Y5" s="11">
        <f>R5+U5</f>
        <v/>
      </c>
      <c r="Z5" s="11">
        <f>S5+V5+X5</f>
        <v/>
      </c>
      <c r="AA5" s="11">
        <f>Q5+T5+W5</f>
        <v/>
      </c>
      <c r="AB5" s="11">
        <f>F5-Y5</f>
        <v/>
      </c>
      <c r="AC5" s="9" t="n"/>
      <c r="AD5" s="12">
        <f>IF(AC5="","",AA5-AC5)</f>
        <v/>
      </c>
    </row>
    <row r="6">
      <c r="A6" s="2" t="n">
        <v>2016</v>
      </c>
      <c r="B6" s="2" t="n">
        <v>10</v>
      </c>
      <c r="C6" s="8">
        <f>IF(設定!$B$3="","",DATEDIF(設定!$B$3,EOMONTH(DATE(A6,B6,1),0),"Y"))</f>
        <v/>
      </c>
      <c r="D6" s="8">
        <f>IF(設定!$B$3="",FALSE,AND(EOMONTH(DATE(A6,B6,1),0)&gt;=DATE(YEAR(設定!$B$3)+40,MONTH(設定!$B$3),DAY(設定!$B$3))-1,EOMONTH(DATE(A6,B6,1),0)&lt;DATE(YEAR(設定!$B$3)+65,MONTH(設定!$B$3),DAY(設定!$B$3))-1))</f>
        <v/>
      </c>
      <c r="E6" s="9" t="n">
        <v>88000</v>
      </c>
      <c r="F6" s="9" t="n">
        <v>83000</v>
      </c>
      <c r="G6" s="10">
        <f>XLOOKUP(DATE(A6,B6,1),料率マスタ!$A:$A,料率マスタ!$B:$B,,-1,-1)</f>
        <v/>
      </c>
      <c r="H6" s="10">
        <f>XLOOKUP(DATE(A6,B6,1),料率マスタ!$A:$A,料率マスタ!$C:$C,,-1,-1)</f>
        <v/>
      </c>
      <c r="I6" s="10">
        <f>XLOOKUP(DATE(A6,B6,1),料率マスタ!$A:$A,料率マスタ!$D:$D,,-1,-1)</f>
        <v/>
      </c>
      <c r="J6" s="10">
        <f>XLOOKUP(DATE(A6,B6,1),料率マスタ!$A:$A,料率マスタ!$E:$E,,-1,-1)</f>
        <v/>
      </c>
      <c r="K6" s="10">
        <f>XLOOKUP(DATE(A6,B6,1),料率マスタ!$A:$A,料率マスタ!$F:$F,,-1,-1)</f>
        <v/>
      </c>
      <c r="L6" s="10">
        <f>G6+IF(D6,H6,0)</f>
        <v/>
      </c>
      <c r="M6" s="11">
        <f>E6*L6</f>
        <v/>
      </c>
      <c r="N6" s="11">
        <f>E6*K6</f>
        <v/>
      </c>
      <c r="O6" s="11">
        <f>E6*I6</f>
        <v/>
      </c>
      <c r="P6" s="11">
        <f>ROUNDDOWN(E6*J6,0)</f>
        <v/>
      </c>
      <c r="Q6" s="11">
        <f>ROUNDDOWN(ROUND(M6+N6,2),0)</f>
        <v/>
      </c>
      <c r="R6" s="11">
        <f>INT(M6/2)+IF(MOD(M6,2)&gt;1,1,0)+INT(N6/2)+IF(MOD(N6,2)&gt;1,1,0)</f>
        <v/>
      </c>
      <c r="S6" s="11">
        <f>Q6-R6</f>
        <v/>
      </c>
      <c r="T6" s="11">
        <f>ROUNDDOWN(O6,0)</f>
        <v/>
      </c>
      <c r="U6" s="11">
        <f>INT(O6/2)+IF(MOD(O6,2)&gt;1,1,0)</f>
        <v/>
      </c>
      <c r="V6" s="11">
        <f>T6-U6</f>
        <v/>
      </c>
      <c r="W6" s="11">
        <f>P6</f>
        <v/>
      </c>
      <c r="X6" s="11">
        <f>W6</f>
        <v/>
      </c>
      <c r="Y6" s="11">
        <f>R6+U6</f>
        <v/>
      </c>
      <c r="Z6" s="11">
        <f>S6+V6+X6</f>
        <v/>
      </c>
      <c r="AA6" s="11">
        <f>Q6+T6+W6</f>
        <v/>
      </c>
      <c r="AB6" s="11">
        <f>F6-Y6</f>
        <v/>
      </c>
      <c r="AC6" s="9" t="n"/>
      <c r="AD6" s="12">
        <f>IF(AC6="","",AA6-AC6)</f>
        <v/>
      </c>
    </row>
    <row r="7">
      <c r="A7" s="2" t="n">
        <v>2016</v>
      </c>
      <c r="B7" s="2" t="n">
        <v>11</v>
      </c>
      <c r="C7" s="8">
        <f>IF(設定!$B$3="","",DATEDIF(設定!$B$3,EOMONTH(DATE(A7,B7,1),0),"Y"))</f>
        <v/>
      </c>
      <c r="D7" s="8">
        <f>IF(設定!$B$3="",FALSE,AND(EOMONTH(DATE(A7,B7,1),0)&gt;=DATE(YEAR(設定!$B$3)+40,MONTH(設定!$B$3),DAY(設定!$B$3))-1,EOMONTH(DATE(A7,B7,1),0)&lt;DATE(YEAR(設定!$B$3)+65,MONTH(設定!$B$3),DAY(設定!$B$3))-1))</f>
        <v/>
      </c>
      <c r="E7" s="9" t="n">
        <v>88000</v>
      </c>
      <c r="F7" s="9" t="n">
        <v>83000</v>
      </c>
      <c r="G7" s="10">
        <f>XLOOKUP(DATE(A7,B7,1),料率マスタ!$A:$A,料率マスタ!$B:$B,,-1,-1)</f>
        <v/>
      </c>
      <c r="H7" s="10">
        <f>XLOOKUP(DATE(A7,B7,1),料率マスタ!$A:$A,料率マスタ!$C:$C,,-1,-1)</f>
        <v/>
      </c>
      <c r="I7" s="10">
        <f>XLOOKUP(DATE(A7,B7,1),料率マスタ!$A:$A,料率マスタ!$D:$D,,-1,-1)</f>
        <v/>
      </c>
      <c r="J7" s="10">
        <f>XLOOKUP(DATE(A7,B7,1),料率マスタ!$A:$A,料率マスタ!$E:$E,,-1,-1)</f>
        <v/>
      </c>
      <c r="K7" s="10">
        <f>XLOOKUP(DATE(A7,B7,1),料率マスタ!$A:$A,料率マスタ!$F:$F,,-1,-1)</f>
        <v/>
      </c>
      <c r="L7" s="10">
        <f>G7+IF(D7,H7,0)</f>
        <v/>
      </c>
      <c r="M7" s="11">
        <f>E7*L7</f>
        <v/>
      </c>
      <c r="N7" s="11">
        <f>E7*K7</f>
        <v/>
      </c>
      <c r="O7" s="11">
        <f>E7*I7</f>
        <v/>
      </c>
      <c r="P7" s="11">
        <f>ROUNDDOWN(E7*J7,0)</f>
        <v/>
      </c>
      <c r="Q7" s="11">
        <f>ROUNDDOWN(ROUND(M7+N7,2),0)</f>
        <v/>
      </c>
      <c r="R7" s="11">
        <f>INT(M7/2)+IF(MOD(M7,2)&gt;1,1,0)+INT(N7/2)+IF(MOD(N7,2)&gt;1,1,0)</f>
        <v/>
      </c>
      <c r="S7" s="11">
        <f>Q7-R7</f>
        <v/>
      </c>
      <c r="T7" s="11">
        <f>ROUNDDOWN(O7,0)</f>
        <v/>
      </c>
      <c r="U7" s="11">
        <f>INT(O7/2)+IF(MOD(O7,2)&gt;1,1,0)</f>
        <v/>
      </c>
      <c r="V7" s="11">
        <f>T7-U7</f>
        <v/>
      </c>
      <c r="W7" s="11">
        <f>P7</f>
        <v/>
      </c>
      <c r="X7" s="11">
        <f>W7</f>
        <v/>
      </c>
      <c r="Y7" s="11">
        <f>R7+U7</f>
        <v/>
      </c>
      <c r="Z7" s="11">
        <f>S7+V7+X7</f>
        <v/>
      </c>
      <c r="AA7" s="11">
        <f>Q7+T7+W7</f>
        <v/>
      </c>
      <c r="AB7" s="11">
        <f>F7-Y7</f>
        <v/>
      </c>
      <c r="AC7" s="9" t="n"/>
      <c r="AD7" s="12">
        <f>IF(AC7="","",AA7-AC7)</f>
        <v/>
      </c>
    </row>
    <row r="8">
      <c r="A8" s="2" t="n">
        <v>2016</v>
      </c>
      <c r="B8" s="2" t="n">
        <v>12</v>
      </c>
      <c r="C8" s="8">
        <f>IF(設定!$B$3="","",DATEDIF(設定!$B$3,EOMONTH(DATE(A8,B8,1),0),"Y"))</f>
        <v/>
      </c>
      <c r="D8" s="8">
        <f>IF(設定!$B$3="",FALSE,AND(EOMONTH(DATE(A8,B8,1),0)&gt;=DATE(YEAR(設定!$B$3)+40,MONTH(設定!$B$3),DAY(設定!$B$3))-1,EOMONTH(DATE(A8,B8,1),0)&lt;DATE(YEAR(設定!$B$3)+65,MONTH(設定!$B$3),DAY(設定!$B$3))-1))</f>
        <v/>
      </c>
      <c r="E8" s="9" t="n">
        <v>88000</v>
      </c>
      <c r="F8" s="9" t="n">
        <v>83000</v>
      </c>
      <c r="G8" s="10">
        <f>XLOOKUP(DATE(A8,B8,1),料率マスタ!$A:$A,料率マスタ!$B:$B,,-1,-1)</f>
        <v/>
      </c>
      <c r="H8" s="10">
        <f>XLOOKUP(DATE(A8,B8,1),料率マスタ!$A:$A,料率マスタ!$C:$C,,-1,-1)</f>
        <v/>
      </c>
      <c r="I8" s="10">
        <f>XLOOKUP(DATE(A8,B8,1),料率マスタ!$A:$A,料率マスタ!$D:$D,,-1,-1)</f>
        <v/>
      </c>
      <c r="J8" s="10">
        <f>XLOOKUP(DATE(A8,B8,1),料率マスタ!$A:$A,料率マスタ!$E:$E,,-1,-1)</f>
        <v/>
      </c>
      <c r="K8" s="10">
        <f>XLOOKUP(DATE(A8,B8,1),料率マスタ!$A:$A,料率マスタ!$F:$F,,-1,-1)</f>
        <v/>
      </c>
      <c r="L8" s="10">
        <f>G8+IF(D8,H8,0)</f>
        <v/>
      </c>
      <c r="M8" s="11">
        <f>E8*L8</f>
        <v/>
      </c>
      <c r="N8" s="11">
        <f>E8*K8</f>
        <v/>
      </c>
      <c r="O8" s="11">
        <f>E8*I8</f>
        <v/>
      </c>
      <c r="P8" s="11">
        <f>ROUNDDOWN(E8*J8,0)</f>
        <v/>
      </c>
      <c r="Q8" s="11">
        <f>ROUNDDOWN(ROUND(M8+N8,2),0)</f>
        <v/>
      </c>
      <c r="R8" s="11">
        <f>INT(M8/2)+IF(MOD(M8,2)&gt;1,1,0)+INT(N8/2)+IF(MOD(N8,2)&gt;1,1,0)</f>
        <v/>
      </c>
      <c r="S8" s="11">
        <f>Q8-R8</f>
        <v/>
      </c>
      <c r="T8" s="11">
        <f>ROUNDDOWN(O8,0)</f>
        <v/>
      </c>
      <c r="U8" s="11">
        <f>INT(O8/2)+IF(MOD(O8,2)&gt;1,1,0)</f>
        <v/>
      </c>
      <c r="V8" s="11">
        <f>T8-U8</f>
        <v/>
      </c>
      <c r="W8" s="11">
        <f>P8</f>
        <v/>
      </c>
      <c r="X8" s="11">
        <f>W8</f>
        <v/>
      </c>
      <c r="Y8" s="11">
        <f>R8+U8</f>
        <v/>
      </c>
      <c r="Z8" s="11">
        <f>S8+V8+X8</f>
        <v/>
      </c>
      <c r="AA8" s="11">
        <f>Q8+T8+W8</f>
        <v/>
      </c>
      <c r="AB8" s="11">
        <f>F8-Y8</f>
        <v/>
      </c>
      <c r="AC8" s="9" t="n"/>
      <c r="AD8" s="12">
        <f>IF(AC8="","",AA8-AC8)</f>
        <v/>
      </c>
    </row>
    <row r="9">
      <c r="A9" s="2" t="n">
        <v>2017</v>
      </c>
      <c r="B9" s="2" t="n">
        <v>1</v>
      </c>
      <c r="C9" s="8">
        <f>IF(設定!$B$3="","",DATEDIF(設定!$B$3,EOMONTH(DATE(A9,B9,1),0),"Y"))</f>
        <v/>
      </c>
      <c r="D9" s="8">
        <f>IF(設定!$B$3="",FALSE,AND(EOMONTH(DATE(A9,B9,1),0)&gt;=DATE(YEAR(設定!$B$3)+40,MONTH(設定!$B$3),DAY(設定!$B$3))-1,EOMONTH(DATE(A9,B9,1),0)&lt;DATE(YEAR(設定!$B$3)+65,MONTH(設定!$B$3),DAY(設定!$B$3))-1))</f>
        <v/>
      </c>
      <c r="E9" s="9" t="n">
        <v>88000</v>
      </c>
      <c r="F9" s="9" t="n">
        <v>83000</v>
      </c>
      <c r="G9" s="10">
        <f>XLOOKUP(DATE(A9,B9,1),料率マスタ!$A:$A,料率マスタ!$B:$B,,-1,-1)</f>
        <v/>
      </c>
      <c r="H9" s="10">
        <f>XLOOKUP(DATE(A9,B9,1),料率マスタ!$A:$A,料率マスタ!$C:$C,,-1,-1)</f>
        <v/>
      </c>
      <c r="I9" s="10">
        <f>XLOOKUP(DATE(A9,B9,1),料率マスタ!$A:$A,料率マスタ!$D:$D,,-1,-1)</f>
        <v/>
      </c>
      <c r="J9" s="10">
        <f>XLOOKUP(DATE(A9,B9,1),料率マスタ!$A:$A,料率マスタ!$E:$E,,-1,-1)</f>
        <v/>
      </c>
      <c r="K9" s="10">
        <f>XLOOKUP(DATE(A9,B9,1),料率マスタ!$A:$A,料率マスタ!$F:$F,,-1,-1)</f>
        <v/>
      </c>
      <c r="L9" s="10">
        <f>G9+IF(D9,H9,0)</f>
        <v/>
      </c>
      <c r="M9" s="11">
        <f>E9*L9</f>
        <v/>
      </c>
      <c r="N9" s="11">
        <f>E9*K9</f>
        <v/>
      </c>
      <c r="O9" s="11">
        <f>E9*I9</f>
        <v/>
      </c>
      <c r="P9" s="11">
        <f>ROUNDDOWN(E9*J9,0)</f>
        <v/>
      </c>
      <c r="Q9" s="11">
        <f>ROUNDDOWN(ROUND(M9+N9,2),0)</f>
        <v/>
      </c>
      <c r="R9" s="11">
        <f>INT(M9/2)+IF(MOD(M9,2)&gt;1,1,0)+INT(N9/2)+IF(MOD(N9,2)&gt;1,1,0)</f>
        <v/>
      </c>
      <c r="S9" s="11">
        <f>Q9-R9</f>
        <v/>
      </c>
      <c r="T9" s="11">
        <f>ROUNDDOWN(O9,0)</f>
        <v/>
      </c>
      <c r="U9" s="11">
        <f>INT(O9/2)+IF(MOD(O9,2)&gt;1,1,0)</f>
        <v/>
      </c>
      <c r="V9" s="11">
        <f>T9-U9</f>
        <v/>
      </c>
      <c r="W9" s="11">
        <f>P9</f>
        <v/>
      </c>
      <c r="X9" s="11">
        <f>W9</f>
        <v/>
      </c>
      <c r="Y9" s="11">
        <f>R9+U9</f>
        <v/>
      </c>
      <c r="Z9" s="11">
        <f>S9+V9+X9</f>
        <v/>
      </c>
      <c r="AA9" s="11">
        <f>Q9+T9+W9</f>
        <v/>
      </c>
      <c r="AB9" s="11">
        <f>F9-Y9</f>
        <v/>
      </c>
      <c r="AC9" s="9" t="n"/>
      <c r="AD9" s="12">
        <f>IF(AC9="","",AA9-AC9)</f>
        <v/>
      </c>
    </row>
    <row r="10">
      <c r="A10" s="2" t="n">
        <v>2017</v>
      </c>
      <c r="B10" s="2" t="n">
        <v>2</v>
      </c>
      <c r="C10" s="8">
        <f>IF(設定!$B$3="","",DATEDIF(設定!$B$3,EOMONTH(DATE(A10,B10,1),0),"Y"))</f>
        <v/>
      </c>
      <c r="D10" s="8">
        <f>IF(設定!$B$3="",FALSE,AND(EOMONTH(DATE(A10,B10,1),0)&gt;=DATE(YEAR(設定!$B$3)+40,MONTH(設定!$B$3),DAY(設定!$B$3))-1,EOMONTH(DATE(A10,B10,1),0)&lt;DATE(YEAR(設定!$B$3)+65,MONTH(設定!$B$3),DAY(設定!$B$3))-1))</f>
        <v/>
      </c>
      <c r="E10" s="9" t="n">
        <v>88000</v>
      </c>
      <c r="F10" s="9" t="n">
        <v>83000</v>
      </c>
      <c r="G10" s="10">
        <f>XLOOKUP(DATE(A10,B10,1),料率マスタ!$A:$A,料率マスタ!$B:$B,,-1,-1)</f>
        <v/>
      </c>
      <c r="H10" s="10">
        <f>XLOOKUP(DATE(A10,B10,1),料率マスタ!$A:$A,料率マスタ!$C:$C,,-1,-1)</f>
        <v/>
      </c>
      <c r="I10" s="10">
        <f>XLOOKUP(DATE(A10,B10,1),料率マスタ!$A:$A,料率マスタ!$D:$D,,-1,-1)</f>
        <v/>
      </c>
      <c r="J10" s="10">
        <f>XLOOKUP(DATE(A10,B10,1),料率マスタ!$A:$A,料率マスタ!$E:$E,,-1,-1)</f>
        <v/>
      </c>
      <c r="K10" s="10">
        <f>XLOOKUP(DATE(A10,B10,1),料率マスタ!$A:$A,料率マスタ!$F:$F,,-1,-1)</f>
        <v/>
      </c>
      <c r="L10" s="10">
        <f>G10+IF(D10,H10,0)</f>
        <v/>
      </c>
      <c r="M10" s="11">
        <f>E10*L10</f>
        <v/>
      </c>
      <c r="N10" s="11">
        <f>E10*K10</f>
        <v/>
      </c>
      <c r="O10" s="11">
        <f>E10*I10</f>
        <v/>
      </c>
      <c r="P10" s="11">
        <f>ROUNDDOWN(E10*J10,0)</f>
        <v/>
      </c>
      <c r="Q10" s="11">
        <f>ROUNDDOWN(ROUND(M10+N10,2),0)</f>
        <v/>
      </c>
      <c r="R10" s="11">
        <f>INT(M10/2)+IF(MOD(M10,2)&gt;1,1,0)+INT(N10/2)+IF(MOD(N10,2)&gt;1,1,0)</f>
        <v/>
      </c>
      <c r="S10" s="11">
        <f>Q10-R10</f>
        <v/>
      </c>
      <c r="T10" s="11">
        <f>ROUNDDOWN(O10,0)</f>
        <v/>
      </c>
      <c r="U10" s="11">
        <f>INT(O10/2)+IF(MOD(O10,2)&gt;1,1,0)</f>
        <v/>
      </c>
      <c r="V10" s="11">
        <f>T10-U10</f>
        <v/>
      </c>
      <c r="W10" s="11">
        <f>P10</f>
        <v/>
      </c>
      <c r="X10" s="11">
        <f>W10</f>
        <v/>
      </c>
      <c r="Y10" s="11">
        <f>R10+U10</f>
        <v/>
      </c>
      <c r="Z10" s="11">
        <f>S10+V10+X10</f>
        <v/>
      </c>
      <c r="AA10" s="11">
        <f>Q10+T10+W10</f>
        <v/>
      </c>
      <c r="AB10" s="11">
        <f>F10-Y10</f>
        <v/>
      </c>
      <c r="AC10" s="9" t="n"/>
      <c r="AD10" s="12">
        <f>IF(AC10="","",AA10-AC10)</f>
        <v/>
      </c>
    </row>
    <row r="11">
      <c r="A11" s="2" t="n">
        <v>2017</v>
      </c>
      <c r="B11" s="2" t="n">
        <v>3</v>
      </c>
      <c r="C11" s="8">
        <f>IF(設定!$B$3="","",DATEDIF(設定!$B$3,EOMONTH(DATE(A11,B11,1),0),"Y"))</f>
        <v/>
      </c>
      <c r="D11" s="8">
        <f>IF(設定!$B$3="",FALSE,AND(EOMONTH(DATE(A11,B11,1),0)&gt;=DATE(YEAR(設定!$B$3)+40,MONTH(設定!$B$3),DAY(設定!$B$3))-1,EOMONTH(DATE(A11,B11,1),0)&lt;DATE(YEAR(設定!$B$3)+65,MONTH(設定!$B$3),DAY(設定!$B$3))-1))</f>
        <v/>
      </c>
      <c r="E11" s="9" t="n">
        <v>88000</v>
      </c>
      <c r="F11" s="9" t="n">
        <v>83000</v>
      </c>
      <c r="G11" s="10">
        <f>XLOOKUP(DATE(A11,B11,1),料率マスタ!$A:$A,料率マスタ!$B:$B,,-1,-1)</f>
        <v/>
      </c>
      <c r="H11" s="10">
        <f>XLOOKUP(DATE(A11,B11,1),料率マスタ!$A:$A,料率マスタ!$C:$C,,-1,-1)</f>
        <v/>
      </c>
      <c r="I11" s="10">
        <f>XLOOKUP(DATE(A11,B11,1),料率マスタ!$A:$A,料率マスタ!$D:$D,,-1,-1)</f>
        <v/>
      </c>
      <c r="J11" s="10">
        <f>XLOOKUP(DATE(A11,B11,1),料率マスタ!$A:$A,料率マスタ!$E:$E,,-1,-1)</f>
        <v/>
      </c>
      <c r="K11" s="10">
        <f>XLOOKUP(DATE(A11,B11,1),料率マスタ!$A:$A,料率マスタ!$F:$F,,-1,-1)</f>
        <v/>
      </c>
      <c r="L11" s="10">
        <f>G11+IF(D11,H11,0)</f>
        <v/>
      </c>
      <c r="M11" s="11">
        <f>E11*L11</f>
        <v/>
      </c>
      <c r="N11" s="11">
        <f>E11*K11</f>
        <v/>
      </c>
      <c r="O11" s="11">
        <f>E11*I11</f>
        <v/>
      </c>
      <c r="P11" s="11">
        <f>ROUNDDOWN(E11*J11,0)</f>
        <v/>
      </c>
      <c r="Q11" s="11">
        <f>ROUNDDOWN(ROUND(M11+N11,2),0)</f>
        <v/>
      </c>
      <c r="R11" s="11">
        <f>INT(M11/2)+IF(MOD(M11,2)&gt;1,1,0)+INT(N11/2)+IF(MOD(N11,2)&gt;1,1,0)</f>
        <v/>
      </c>
      <c r="S11" s="11">
        <f>Q11-R11</f>
        <v/>
      </c>
      <c r="T11" s="11">
        <f>ROUNDDOWN(O11,0)</f>
        <v/>
      </c>
      <c r="U11" s="11">
        <f>INT(O11/2)+IF(MOD(O11,2)&gt;1,1,0)</f>
        <v/>
      </c>
      <c r="V11" s="11">
        <f>T11-U11</f>
        <v/>
      </c>
      <c r="W11" s="11">
        <f>P11</f>
        <v/>
      </c>
      <c r="X11" s="11">
        <f>W11</f>
        <v/>
      </c>
      <c r="Y11" s="11">
        <f>R11+U11</f>
        <v/>
      </c>
      <c r="Z11" s="11">
        <f>S11+V11+X11</f>
        <v/>
      </c>
      <c r="AA11" s="11">
        <f>Q11+T11+W11</f>
        <v/>
      </c>
      <c r="AB11" s="11">
        <f>F11-Y11</f>
        <v/>
      </c>
      <c r="AC11" s="9" t="n"/>
      <c r="AD11" s="12">
        <f>IF(AC11="","",AA11-AC11)</f>
        <v/>
      </c>
    </row>
    <row r="12">
      <c r="A12" s="2" t="n">
        <v>2017</v>
      </c>
      <c r="B12" s="2" t="n">
        <v>4</v>
      </c>
      <c r="C12" s="8">
        <f>IF(設定!$B$3="","",DATEDIF(設定!$B$3,EOMONTH(DATE(A12,B12,1),0),"Y"))</f>
        <v/>
      </c>
      <c r="D12" s="8">
        <f>IF(設定!$B$3="",FALSE,AND(EOMONTH(DATE(A12,B12,1),0)&gt;=DATE(YEAR(設定!$B$3)+40,MONTH(設定!$B$3),DAY(設定!$B$3))-1,EOMONTH(DATE(A12,B12,1),0)&lt;DATE(YEAR(設定!$B$3)+65,MONTH(設定!$B$3),DAY(設定!$B$3))-1))</f>
        <v/>
      </c>
      <c r="E12" s="9" t="n">
        <v>88000</v>
      </c>
      <c r="F12" s="9" t="n">
        <v>83000</v>
      </c>
      <c r="G12" s="10">
        <f>XLOOKUP(DATE(A12,B12,1),料率マスタ!$A:$A,料率マスタ!$B:$B,,-1,-1)</f>
        <v/>
      </c>
      <c r="H12" s="10">
        <f>XLOOKUP(DATE(A12,B12,1),料率マスタ!$A:$A,料率マスタ!$C:$C,,-1,-1)</f>
        <v/>
      </c>
      <c r="I12" s="10">
        <f>XLOOKUP(DATE(A12,B12,1),料率マスタ!$A:$A,料率マスタ!$D:$D,,-1,-1)</f>
        <v/>
      </c>
      <c r="J12" s="10">
        <f>XLOOKUP(DATE(A12,B12,1),料率マスタ!$A:$A,料率マスタ!$E:$E,,-1,-1)</f>
        <v/>
      </c>
      <c r="K12" s="10">
        <f>XLOOKUP(DATE(A12,B12,1),料率マスタ!$A:$A,料率マスタ!$F:$F,,-1,-1)</f>
        <v/>
      </c>
      <c r="L12" s="10">
        <f>G12+IF(D12,H12,0)</f>
        <v/>
      </c>
      <c r="M12" s="11">
        <f>E12*L12</f>
        <v/>
      </c>
      <c r="N12" s="11">
        <f>E12*K12</f>
        <v/>
      </c>
      <c r="O12" s="11">
        <f>E12*I12</f>
        <v/>
      </c>
      <c r="P12" s="11">
        <f>ROUNDDOWN(E12*J12,0)</f>
        <v/>
      </c>
      <c r="Q12" s="11">
        <f>ROUNDDOWN(ROUND(M12+N12,2),0)</f>
        <v/>
      </c>
      <c r="R12" s="11">
        <f>INT(M12/2)+IF(MOD(M12,2)&gt;1,1,0)+INT(N12/2)+IF(MOD(N12,2)&gt;1,1,0)</f>
        <v/>
      </c>
      <c r="S12" s="11">
        <f>Q12-R12</f>
        <v/>
      </c>
      <c r="T12" s="11">
        <f>ROUNDDOWN(O12,0)</f>
        <v/>
      </c>
      <c r="U12" s="11">
        <f>INT(O12/2)+IF(MOD(O12,2)&gt;1,1,0)</f>
        <v/>
      </c>
      <c r="V12" s="11">
        <f>T12-U12</f>
        <v/>
      </c>
      <c r="W12" s="11">
        <f>P12</f>
        <v/>
      </c>
      <c r="X12" s="11">
        <f>W12</f>
        <v/>
      </c>
      <c r="Y12" s="11">
        <f>R12+U12</f>
        <v/>
      </c>
      <c r="Z12" s="11">
        <f>S12+V12+X12</f>
        <v/>
      </c>
      <c r="AA12" s="11">
        <f>Q12+T12+W12</f>
        <v/>
      </c>
      <c r="AB12" s="11">
        <f>F12-Y12</f>
        <v/>
      </c>
      <c r="AC12" s="9" t="n"/>
      <c r="AD12" s="12">
        <f>IF(AC12="","",AA12-AC12)</f>
        <v/>
      </c>
    </row>
    <row r="13">
      <c r="A13" s="2" t="n">
        <v>2017</v>
      </c>
      <c r="B13" s="2" t="n">
        <v>5</v>
      </c>
      <c r="C13" s="8">
        <f>IF(設定!$B$3="","",DATEDIF(設定!$B$3,EOMONTH(DATE(A13,B13,1),0),"Y"))</f>
        <v/>
      </c>
      <c r="D13" s="8">
        <f>IF(設定!$B$3="",FALSE,AND(EOMONTH(DATE(A13,B13,1),0)&gt;=DATE(YEAR(設定!$B$3)+40,MONTH(設定!$B$3),DAY(設定!$B$3))-1,EOMONTH(DATE(A13,B13,1),0)&lt;DATE(YEAR(設定!$B$3)+65,MONTH(設定!$B$3),DAY(設定!$B$3))-1))</f>
        <v/>
      </c>
      <c r="E13" s="9" t="n">
        <v>88000</v>
      </c>
      <c r="F13" s="9" t="n">
        <v>83000</v>
      </c>
      <c r="G13" s="10">
        <f>XLOOKUP(DATE(A13,B13,1),料率マスタ!$A:$A,料率マスタ!$B:$B,,-1,-1)</f>
        <v/>
      </c>
      <c r="H13" s="10">
        <f>XLOOKUP(DATE(A13,B13,1),料率マスタ!$A:$A,料率マスタ!$C:$C,,-1,-1)</f>
        <v/>
      </c>
      <c r="I13" s="10">
        <f>XLOOKUP(DATE(A13,B13,1),料率マスタ!$A:$A,料率マスタ!$D:$D,,-1,-1)</f>
        <v/>
      </c>
      <c r="J13" s="10">
        <f>XLOOKUP(DATE(A13,B13,1),料率マスタ!$A:$A,料率マスタ!$E:$E,,-1,-1)</f>
        <v/>
      </c>
      <c r="K13" s="10">
        <f>XLOOKUP(DATE(A13,B13,1),料率マスタ!$A:$A,料率マスタ!$F:$F,,-1,-1)</f>
        <v/>
      </c>
      <c r="L13" s="10">
        <f>G13+IF(D13,H13,0)</f>
        <v/>
      </c>
      <c r="M13" s="11">
        <f>E13*L13</f>
        <v/>
      </c>
      <c r="N13" s="11">
        <f>E13*K13</f>
        <v/>
      </c>
      <c r="O13" s="11">
        <f>E13*I13</f>
        <v/>
      </c>
      <c r="P13" s="11">
        <f>ROUNDDOWN(E13*J13,0)</f>
        <v/>
      </c>
      <c r="Q13" s="11">
        <f>ROUNDDOWN(ROUND(M13+N13,2),0)</f>
        <v/>
      </c>
      <c r="R13" s="11">
        <f>INT(M13/2)+IF(MOD(M13,2)&gt;1,1,0)+INT(N13/2)+IF(MOD(N13,2)&gt;1,1,0)</f>
        <v/>
      </c>
      <c r="S13" s="11">
        <f>Q13-R13</f>
        <v/>
      </c>
      <c r="T13" s="11">
        <f>ROUNDDOWN(O13,0)</f>
        <v/>
      </c>
      <c r="U13" s="11">
        <f>INT(O13/2)+IF(MOD(O13,2)&gt;1,1,0)</f>
        <v/>
      </c>
      <c r="V13" s="11">
        <f>T13-U13</f>
        <v/>
      </c>
      <c r="W13" s="11">
        <f>P13</f>
        <v/>
      </c>
      <c r="X13" s="11">
        <f>W13</f>
        <v/>
      </c>
      <c r="Y13" s="11">
        <f>R13+U13</f>
        <v/>
      </c>
      <c r="Z13" s="11">
        <f>S13+V13+X13</f>
        <v/>
      </c>
      <c r="AA13" s="11">
        <f>Q13+T13+W13</f>
        <v/>
      </c>
      <c r="AB13" s="11">
        <f>F13-Y13</f>
        <v/>
      </c>
      <c r="AC13" s="9" t="n"/>
      <c r="AD13" s="12">
        <f>IF(AC13="","",AA13-AC13)</f>
        <v/>
      </c>
    </row>
    <row r="14">
      <c r="A14" s="2" t="n">
        <v>2017</v>
      </c>
      <c r="B14" s="2" t="n">
        <v>6</v>
      </c>
      <c r="C14" s="8">
        <f>IF(設定!$B$3="","",DATEDIF(設定!$B$3,EOMONTH(DATE(A14,B14,1),0),"Y"))</f>
        <v/>
      </c>
      <c r="D14" s="8">
        <f>IF(設定!$B$3="",FALSE,AND(EOMONTH(DATE(A14,B14,1),0)&gt;=DATE(YEAR(設定!$B$3)+40,MONTH(設定!$B$3),DAY(設定!$B$3))-1,EOMONTH(DATE(A14,B14,1),0)&lt;DATE(YEAR(設定!$B$3)+65,MONTH(設定!$B$3),DAY(設定!$B$3))-1))</f>
        <v/>
      </c>
      <c r="E14" s="9" t="n">
        <v>88000</v>
      </c>
      <c r="F14" s="9" t="n">
        <v>83000</v>
      </c>
      <c r="G14" s="10">
        <f>XLOOKUP(DATE(A14,B14,1),料率マスタ!$A:$A,料率マスタ!$B:$B,,-1,-1)</f>
        <v/>
      </c>
      <c r="H14" s="10">
        <f>XLOOKUP(DATE(A14,B14,1),料率マスタ!$A:$A,料率マスタ!$C:$C,,-1,-1)</f>
        <v/>
      </c>
      <c r="I14" s="10">
        <f>XLOOKUP(DATE(A14,B14,1),料率マスタ!$A:$A,料率マスタ!$D:$D,,-1,-1)</f>
        <v/>
      </c>
      <c r="J14" s="10">
        <f>XLOOKUP(DATE(A14,B14,1),料率マスタ!$A:$A,料率マスタ!$E:$E,,-1,-1)</f>
        <v/>
      </c>
      <c r="K14" s="10">
        <f>XLOOKUP(DATE(A14,B14,1),料率マスタ!$A:$A,料率マスタ!$F:$F,,-1,-1)</f>
        <v/>
      </c>
      <c r="L14" s="10">
        <f>G14+IF(D14,H14,0)</f>
        <v/>
      </c>
      <c r="M14" s="11">
        <f>E14*L14</f>
        <v/>
      </c>
      <c r="N14" s="11">
        <f>E14*K14</f>
        <v/>
      </c>
      <c r="O14" s="11">
        <f>E14*I14</f>
        <v/>
      </c>
      <c r="P14" s="11">
        <f>ROUNDDOWN(E14*J14,0)</f>
        <v/>
      </c>
      <c r="Q14" s="11">
        <f>ROUNDDOWN(ROUND(M14+N14,2),0)</f>
        <v/>
      </c>
      <c r="R14" s="11">
        <f>INT(M14/2)+IF(MOD(M14,2)&gt;1,1,0)+INT(N14/2)+IF(MOD(N14,2)&gt;1,1,0)</f>
        <v/>
      </c>
      <c r="S14" s="11">
        <f>Q14-R14</f>
        <v/>
      </c>
      <c r="T14" s="11">
        <f>ROUNDDOWN(O14,0)</f>
        <v/>
      </c>
      <c r="U14" s="11">
        <f>INT(O14/2)+IF(MOD(O14,2)&gt;1,1,0)</f>
        <v/>
      </c>
      <c r="V14" s="11">
        <f>T14-U14</f>
        <v/>
      </c>
      <c r="W14" s="11">
        <f>P14</f>
        <v/>
      </c>
      <c r="X14" s="11">
        <f>W14</f>
        <v/>
      </c>
      <c r="Y14" s="11">
        <f>R14+U14</f>
        <v/>
      </c>
      <c r="Z14" s="11">
        <f>S14+V14+X14</f>
        <v/>
      </c>
      <c r="AA14" s="11">
        <f>Q14+T14+W14</f>
        <v/>
      </c>
      <c r="AB14" s="11">
        <f>F14-Y14</f>
        <v/>
      </c>
      <c r="AC14" s="9" t="n"/>
      <c r="AD14" s="12">
        <f>IF(AC14="","",AA14-AC14)</f>
        <v/>
      </c>
    </row>
    <row r="15">
      <c r="A15" s="2" t="n">
        <v>2017</v>
      </c>
      <c r="B15" s="2" t="n">
        <v>7</v>
      </c>
      <c r="C15" s="8">
        <f>IF(設定!$B$3="","",DATEDIF(設定!$B$3,EOMONTH(DATE(A15,B15,1),0),"Y"))</f>
        <v/>
      </c>
      <c r="D15" s="8">
        <f>IF(設定!$B$3="",FALSE,AND(EOMONTH(DATE(A15,B15,1),0)&gt;=DATE(YEAR(設定!$B$3)+40,MONTH(設定!$B$3),DAY(設定!$B$3))-1,EOMONTH(DATE(A15,B15,1),0)&lt;DATE(YEAR(設定!$B$3)+65,MONTH(設定!$B$3),DAY(設定!$B$3))-1))</f>
        <v/>
      </c>
      <c r="E15" s="9" t="n">
        <v>88000</v>
      </c>
      <c r="F15" s="9" t="n">
        <v>83000</v>
      </c>
      <c r="G15" s="10">
        <f>XLOOKUP(DATE(A15,B15,1),料率マスタ!$A:$A,料率マスタ!$B:$B,,-1,-1)</f>
        <v/>
      </c>
      <c r="H15" s="10">
        <f>XLOOKUP(DATE(A15,B15,1),料率マスタ!$A:$A,料率マスタ!$C:$C,,-1,-1)</f>
        <v/>
      </c>
      <c r="I15" s="10">
        <f>XLOOKUP(DATE(A15,B15,1),料率マスタ!$A:$A,料率マスタ!$D:$D,,-1,-1)</f>
        <v/>
      </c>
      <c r="J15" s="10">
        <f>XLOOKUP(DATE(A15,B15,1),料率マスタ!$A:$A,料率マスタ!$E:$E,,-1,-1)</f>
        <v/>
      </c>
      <c r="K15" s="10">
        <f>XLOOKUP(DATE(A15,B15,1),料率マスタ!$A:$A,料率マスタ!$F:$F,,-1,-1)</f>
        <v/>
      </c>
      <c r="L15" s="10">
        <f>G15+IF(D15,H15,0)</f>
        <v/>
      </c>
      <c r="M15" s="11">
        <f>E15*L15</f>
        <v/>
      </c>
      <c r="N15" s="11">
        <f>E15*K15</f>
        <v/>
      </c>
      <c r="O15" s="11">
        <f>E15*I15</f>
        <v/>
      </c>
      <c r="P15" s="11">
        <f>ROUNDDOWN(E15*J15,0)</f>
        <v/>
      </c>
      <c r="Q15" s="11">
        <f>ROUNDDOWN(ROUND(M15+N15,2),0)</f>
        <v/>
      </c>
      <c r="R15" s="11">
        <f>INT(M15/2)+IF(MOD(M15,2)&gt;1,1,0)+INT(N15/2)+IF(MOD(N15,2)&gt;1,1,0)</f>
        <v/>
      </c>
      <c r="S15" s="11">
        <f>Q15-R15</f>
        <v/>
      </c>
      <c r="T15" s="11">
        <f>ROUNDDOWN(O15,0)</f>
        <v/>
      </c>
      <c r="U15" s="11">
        <f>INT(O15/2)+IF(MOD(O15,2)&gt;1,1,0)</f>
        <v/>
      </c>
      <c r="V15" s="11">
        <f>T15-U15</f>
        <v/>
      </c>
      <c r="W15" s="11">
        <f>P15</f>
        <v/>
      </c>
      <c r="X15" s="11">
        <f>W15</f>
        <v/>
      </c>
      <c r="Y15" s="11">
        <f>R15+U15</f>
        <v/>
      </c>
      <c r="Z15" s="11">
        <f>S15+V15+X15</f>
        <v/>
      </c>
      <c r="AA15" s="11">
        <f>Q15+T15+W15</f>
        <v/>
      </c>
      <c r="AB15" s="11">
        <f>F15-Y15</f>
        <v/>
      </c>
      <c r="AC15" s="9" t="n"/>
      <c r="AD15" s="12">
        <f>IF(AC15="","",AA15-AC15)</f>
        <v/>
      </c>
    </row>
    <row r="16">
      <c r="A16" s="2" t="n">
        <v>2017</v>
      </c>
      <c r="B16" s="2" t="n">
        <v>8</v>
      </c>
      <c r="C16" s="8">
        <f>IF(設定!$B$3="","",DATEDIF(設定!$B$3,EOMONTH(DATE(A16,B16,1),0),"Y"))</f>
        <v/>
      </c>
      <c r="D16" s="8">
        <f>IF(設定!$B$3="",FALSE,AND(EOMONTH(DATE(A16,B16,1),0)&gt;=DATE(YEAR(設定!$B$3)+40,MONTH(設定!$B$3),DAY(設定!$B$3))-1,EOMONTH(DATE(A16,B16,1),0)&lt;DATE(YEAR(設定!$B$3)+65,MONTH(設定!$B$3),DAY(設定!$B$3))-1))</f>
        <v/>
      </c>
      <c r="E16" s="9" t="n">
        <v>88000</v>
      </c>
      <c r="F16" s="9" t="n">
        <v>83000</v>
      </c>
      <c r="G16" s="10">
        <f>XLOOKUP(DATE(A16,B16,1),料率マスタ!$A:$A,料率マスタ!$B:$B,,-1,-1)</f>
        <v/>
      </c>
      <c r="H16" s="10">
        <f>XLOOKUP(DATE(A16,B16,1),料率マスタ!$A:$A,料率マスタ!$C:$C,,-1,-1)</f>
        <v/>
      </c>
      <c r="I16" s="10">
        <f>XLOOKUP(DATE(A16,B16,1),料率マスタ!$A:$A,料率マスタ!$D:$D,,-1,-1)</f>
        <v/>
      </c>
      <c r="J16" s="10">
        <f>XLOOKUP(DATE(A16,B16,1),料率マスタ!$A:$A,料率マスタ!$E:$E,,-1,-1)</f>
        <v/>
      </c>
      <c r="K16" s="10">
        <f>XLOOKUP(DATE(A16,B16,1),料率マスタ!$A:$A,料率マスタ!$F:$F,,-1,-1)</f>
        <v/>
      </c>
      <c r="L16" s="10">
        <f>G16+IF(D16,H16,0)</f>
        <v/>
      </c>
      <c r="M16" s="11">
        <f>E16*L16</f>
        <v/>
      </c>
      <c r="N16" s="11">
        <f>E16*K16</f>
        <v/>
      </c>
      <c r="O16" s="11">
        <f>E16*I16</f>
        <v/>
      </c>
      <c r="P16" s="11">
        <f>ROUNDDOWN(E16*J16,0)</f>
        <v/>
      </c>
      <c r="Q16" s="11">
        <f>ROUNDDOWN(ROUND(M16+N16,2),0)</f>
        <v/>
      </c>
      <c r="R16" s="11">
        <f>INT(M16/2)+IF(MOD(M16,2)&gt;1,1,0)+INT(N16/2)+IF(MOD(N16,2)&gt;1,1,0)</f>
        <v/>
      </c>
      <c r="S16" s="11">
        <f>Q16-R16</f>
        <v/>
      </c>
      <c r="T16" s="11">
        <f>ROUNDDOWN(O16,0)</f>
        <v/>
      </c>
      <c r="U16" s="11">
        <f>INT(O16/2)+IF(MOD(O16,2)&gt;1,1,0)</f>
        <v/>
      </c>
      <c r="V16" s="11">
        <f>T16-U16</f>
        <v/>
      </c>
      <c r="W16" s="11">
        <f>P16</f>
        <v/>
      </c>
      <c r="X16" s="11">
        <f>W16</f>
        <v/>
      </c>
      <c r="Y16" s="11">
        <f>R16+U16</f>
        <v/>
      </c>
      <c r="Z16" s="11">
        <f>S16+V16+X16</f>
        <v/>
      </c>
      <c r="AA16" s="11">
        <f>Q16+T16+W16</f>
        <v/>
      </c>
      <c r="AB16" s="11">
        <f>F16-Y16</f>
        <v/>
      </c>
      <c r="AC16" s="9" t="n"/>
      <c r="AD16" s="12">
        <f>IF(AC16="","",AA16-AC16)</f>
        <v/>
      </c>
    </row>
    <row r="17">
      <c r="A17" s="2" t="n">
        <v>2017</v>
      </c>
      <c r="B17" s="2" t="n">
        <v>9</v>
      </c>
      <c r="C17" s="8">
        <f>IF(設定!$B$3="","",DATEDIF(設定!$B$3,EOMONTH(DATE(A17,B17,1),0),"Y"))</f>
        <v/>
      </c>
      <c r="D17" s="8">
        <f>IF(設定!$B$3="",FALSE,AND(EOMONTH(DATE(A17,B17,1),0)&gt;=DATE(YEAR(設定!$B$3)+40,MONTH(設定!$B$3),DAY(設定!$B$3))-1,EOMONTH(DATE(A17,B17,1),0)&lt;DATE(YEAR(設定!$B$3)+65,MONTH(設定!$B$3),DAY(設定!$B$3))-1))</f>
        <v/>
      </c>
      <c r="E17" s="9" t="n">
        <v>88000</v>
      </c>
      <c r="F17" s="9" t="n">
        <v>83000</v>
      </c>
      <c r="G17" s="10">
        <f>XLOOKUP(DATE(A17,B17,1),料率マスタ!$A:$A,料率マスタ!$B:$B,,-1,-1)</f>
        <v/>
      </c>
      <c r="H17" s="10">
        <f>XLOOKUP(DATE(A17,B17,1),料率マスタ!$A:$A,料率マスタ!$C:$C,,-1,-1)</f>
        <v/>
      </c>
      <c r="I17" s="10">
        <f>XLOOKUP(DATE(A17,B17,1),料率マスタ!$A:$A,料率マスタ!$D:$D,,-1,-1)</f>
        <v/>
      </c>
      <c r="J17" s="10">
        <f>XLOOKUP(DATE(A17,B17,1),料率マスタ!$A:$A,料率マスタ!$E:$E,,-1,-1)</f>
        <v/>
      </c>
      <c r="K17" s="10">
        <f>XLOOKUP(DATE(A17,B17,1),料率マスタ!$A:$A,料率マスタ!$F:$F,,-1,-1)</f>
        <v/>
      </c>
      <c r="L17" s="10">
        <f>G17+IF(D17,H17,0)</f>
        <v/>
      </c>
      <c r="M17" s="11">
        <f>E17*L17</f>
        <v/>
      </c>
      <c r="N17" s="11">
        <f>E17*K17</f>
        <v/>
      </c>
      <c r="O17" s="11">
        <f>E17*I17</f>
        <v/>
      </c>
      <c r="P17" s="11">
        <f>ROUNDDOWN(E17*J17,0)</f>
        <v/>
      </c>
      <c r="Q17" s="11">
        <f>ROUNDDOWN(ROUND(M17+N17,2),0)</f>
        <v/>
      </c>
      <c r="R17" s="11">
        <f>INT(M17/2)+IF(MOD(M17,2)&gt;1,1,0)+INT(N17/2)+IF(MOD(N17,2)&gt;1,1,0)</f>
        <v/>
      </c>
      <c r="S17" s="11">
        <f>Q17-R17</f>
        <v/>
      </c>
      <c r="T17" s="11">
        <f>ROUNDDOWN(O17,0)</f>
        <v/>
      </c>
      <c r="U17" s="11">
        <f>INT(O17/2)+IF(MOD(O17,2)&gt;1,1,0)</f>
        <v/>
      </c>
      <c r="V17" s="11">
        <f>T17-U17</f>
        <v/>
      </c>
      <c r="W17" s="11">
        <f>P17</f>
        <v/>
      </c>
      <c r="X17" s="11">
        <f>W17</f>
        <v/>
      </c>
      <c r="Y17" s="11">
        <f>R17+U17</f>
        <v/>
      </c>
      <c r="Z17" s="11">
        <f>S17+V17+X17</f>
        <v/>
      </c>
      <c r="AA17" s="11">
        <f>Q17+T17+W17</f>
        <v/>
      </c>
      <c r="AB17" s="11">
        <f>F17-Y17</f>
        <v/>
      </c>
      <c r="AC17" s="9" t="n"/>
      <c r="AD17" s="12">
        <f>IF(AC17="","",AA17-AC17)</f>
        <v/>
      </c>
    </row>
    <row r="18">
      <c r="A18" s="2" t="n">
        <v>2017</v>
      </c>
      <c r="B18" s="2" t="n">
        <v>10</v>
      </c>
      <c r="C18" s="8">
        <f>IF(設定!$B$3="","",DATEDIF(設定!$B$3,EOMONTH(DATE(A18,B18,1),0),"Y"))</f>
        <v/>
      </c>
      <c r="D18" s="8">
        <f>IF(設定!$B$3="",FALSE,AND(EOMONTH(DATE(A18,B18,1),0)&gt;=DATE(YEAR(設定!$B$3)+40,MONTH(設定!$B$3),DAY(設定!$B$3))-1,EOMONTH(DATE(A18,B18,1),0)&lt;DATE(YEAR(設定!$B$3)+65,MONTH(設定!$B$3),DAY(設定!$B$3))-1))</f>
        <v/>
      </c>
      <c r="E18" s="9" t="n">
        <v>88000</v>
      </c>
      <c r="F18" s="9" t="n">
        <v>83000</v>
      </c>
      <c r="G18" s="10">
        <f>XLOOKUP(DATE(A18,B18,1),料率マスタ!$A:$A,料率マスタ!$B:$B,,-1,-1)</f>
        <v/>
      </c>
      <c r="H18" s="10">
        <f>XLOOKUP(DATE(A18,B18,1),料率マスタ!$A:$A,料率マスタ!$C:$C,,-1,-1)</f>
        <v/>
      </c>
      <c r="I18" s="10">
        <f>XLOOKUP(DATE(A18,B18,1),料率マスタ!$A:$A,料率マスタ!$D:$D,,-1,-1)</f>
        <v/>
      </c>
      <c r="J18" s="10">
        <f>XLOOKUP(DATE(A18,B18,1),料率マスタ!$A:$A,料率マスタ!$E:$E,,-1,-1)</f>
        <v/>
      </c>
      <c r="K18" s="10">
        <f>XLOOKUP(DATE(A18,B18,1),料率マスタ!$A:$A,料率マスタ!$F:$F,,-1,-1)</f>
        <v/>
      </c>
      <c r="L18" s="10">
        <f>G18+IF(D18,H18,0)</f>
        <v/>
      </c>
      <c r="M18" s="11">
        <f>E18*L18</f>
        <v/>
      </c>
      <c r="N18" s="11">
        <f>E18*K18</f>
        <v/>
      </c>
      <c r="O18" s="11">
        <f>E18*I18</f>
        <v/>
      </c>
      <c r="P18" s="11">
        <f>ROUNDDOWN(E18*J18,0)</f>
        <v/>
      </c>
      <c r="Q18" s="11">
        <f>ROUNDDOWN(ROUND(M18+N18,2),0)</f>
        <v/>
      </c>
      <c r="R18" s="11">
        <f>INT(M18/2)+IF(MOD(M18,2)&gt;1,1,0)+INT(N18/2)+IF(MOD(N18,2)&gt;1,1,0)</f>
        <v/>
      </c>
      <c r="S18" s="11">
        <f>Q18-R18</f>
        <v/>
      </c>
      <c r="T18" s="11">
        <f>ROUNDDOWN(O18,0)</f>
        <v/>
      </c>
      <c r="U18" s="11">
        <f>INT(O18/2)+IF(MOD(O18,2)&gt;1,1,0)</f>
        <v/>
      </c>
      <c r="V18" s="11">
        <f>T18-U18</f>
        <v/>
      </c>
      <c r="W18" s="11">
        <f>P18</f>
        <v/>
      </c>
      <c r="X18" s="11">
        <f>W18</f>
        <v/>
      </c>
      <c r="Y18" s="11">
        <f>R18+U18</f>
        <v/>
      </c>
      <c r="Z18" s="11">
        <f>S18+V18+X18</f>
        <v/>
      </c>
      <c r="AA18" s="11">
        <f>Q18+T18+W18</f>
        <v/>
      </c>
      <c r="AB18" s="11">
        <f>F18-Y18</f>
        <v/>
      </c>
      <c r="AC18" s="9" t="n"/>
      <c r="AD18" s="12">
        <f>IF(AC18="","",AA18-AC18)</f>
        <v/>
      </c>
    </row>
    <row r="19">
      <c r="A19" s="2" t="n">
        <v>2017</v>
      </c>
      <c r="B19" s="2" t="n">
        <v>11</v>
      </c>
      <c r="C19" s="8">
        <f>IF(設定!$B$3="","",DATEDIF(設定!$B$3,EOMONTH(DATE(A19,B19,1),0),"Y"))</f>
        <v/>
      </c>
      <c r="D19" s="8">
        <f>IF(設定!$B$3="",FALSE,AND(EOMONTH(DATE(A19,B19,1),0)&gt;=DATE(YEAR(設定!$B$3)+40,MONTH(設定!$B$3),DAY(設定!$B$3))-1,EOMONTH(DATE(A19,B19,1),0)&lt;DATE(YEAR(設定!$B$3)+65,MONTH(設定!$B$3),DAY(設定!$B$3))-1))</f>
        <v/>
      </c>
      <c r="E19" s="9" t="n">
        <v>88000</v>
      </c>
      <c r="F19" s="9" t="n">
        <v>83000</v>
      </c>
      <c r="G19" s="10">
        <f>XLOOKUP(DATE(A19,B19,1),料率マスタ!$A:$A,料率マスタ!$B:$B,,-1,-1)</f>
        <v/>
      </c>
      <c r="H19" s="10">
        <f>XLOOKUP(DATE(A19,B19,1),料率マスタ!$A:$A,料率マスタ!$C:$C,,-1,-1)</f>
        <v/>
      </c>
      <c r="I19" s="10">
        <f>XLOOKUP(DATE(A19,B19,1),料率マスタ!$A:$A,料率マスタ!$D:$D,,-1,-1)</f>
        <v/>
      </c>
      <c r="J19" s="10">
        <f>XLOOKUP(DATE(A19,B19,1),料率マスタ!$A:$A,料率マスタ!$E:$E,,-1,-1)</f>
        <v/>
      </c>
      <c r="K19" s="10">
        <f>XLOOKUP(DATE(A19,B19,1),料率マスタ!$A:$A,料率マスタ!$F:$F,,-1,-1)</f>
        <v/>
      </c>
      <c r="L19" s="10">
        <f>G19+IF(D19,H19,0)</f>
        <v/>
      </c>
      <c r="M19" s="11">
        <f>E19*L19</f>
        <v/>
      </c>
      <c r="N19" s="11">
        <f>E19*K19</f>
        <v/>
      </c>
      <c r="O19" s="11">
        <f>E19*I19</f>
        <v/>
      </c>
      <c r="P19" s="11">
        <f>ROUNDDOWN(E19*J19,0)</f>
        <v/>
      </c>
      <c r="Q19" s="11">
        <f>ROUNDDOWN(ROUND(M19+N19,2),0)</f>
        <v/>
      </c>
      <c r="R19" s="11">
        <f>INT(M19/2)+IF(MOD(M19,2)&gt;1,1,0)+INT(N19/2)+IF(MOD(N19,2)&gt;1,1,0)</f>
        <v/>
      </c>
      <c r="S19" s="11">
        <f>Q19-R19</f>
        <v/>
      </c>
      <c r="T19" s="11">
        <f>ROUNDDOWN(O19,0)</f>
        <v/>
      </c>
      <c r="U19" s="11">
        <f>INT(O19/2)+IF(MOD(O19,2)&gt;1,1,0)</f>
        <v/>
      </c>
      <c r="V19" s="11">
        <f>T19-U19</f>
        <v/>
      </c>
      <c r="W19" s="11">
        <f>P19</f>
        <v/>
      </c>
      <c r="X19" s="11">
        <f>W19</f>
        <v/>
      </c>
      <c r="Y19" s="11">
        <f>R19+U19</f>
        <v/>
      </c>
      <c r="Z19" s="11">
        <f>S19+V19+X19</f>
        <v/>
      </c>
      <c r="AA19" s="11">
        <f>Q19+T19+W19</f>
        <v/>
      </c>
      <c r="AB19" s="11">
        <f>F19-Y19</f>
        <v/>
      </c>
      <c r="AC19" s="9" t="n"/>
      <c r="AD19" s="12">
        <f>IF(AC19="","",AA19-AC19)</f>
        <v/>
      </c>
    </row>
    <row r="20">
      <c r="A20" s="2" t="n">
        <v>2017</v>
      </c>
      <c r="B20" s="2" t="n">
        <v>12</v>
      </c>
      <c r="C20" s="8">
        <f>IF(設定!$B$3="","",DATEDIF(設定!$B$3,EOMONTH(DATE(A20,B20,1),0),"Y"))</f>
        <v/>
      </c>
      <c r="D20" s="8">
        <f>IF(設定!$B$3="",FALSE,AND(EOMONTH(DATE(A20,B20,1),0)&gt;=DATE(YEAR(設定!$B$3)+40,MONTH(設定!$B$3),DAY(設定!$B$3))-1,EOMONTH(DATE(A20,B20,1),0)&lt;DATE(YEAR(設定!$B$3)+65,MONTH(設定!$B$3),DAY(設定!$B$3))-1))</f>
        <v/>
      </c>
      <c r="E20" s="9" t="n">
        <v>88000</v>
      </c>
      <c r="F20" s="9" t="n">
        <v>83000</v>
      </c>
      <c r="G20" s="10">
        <f>XLOOKUP(DATE(A20,B20,1),料率マスタ!$A:$A,料率マスタ!$B:$B,,-1,-1)</f>
        <v/>
      </c>
      <c r="H20" s="10">
        <f>XLOOKUP(DATE(A20,B20,1),料率マスタ!$A:$A,料率マスタ!$C:$C,,-1,-1)</f>
        <v/>
      </c>
      <c r="I20" s="10">
        <f>XLOOKUP(DATE(A20,B20,1),料率マスタ!$A:$A,料率マスタ!$D:$D,,-1,-1)</f>
        <v/>
      </c>
      <c r="J20" s="10">
        <f>XLOOKUP(DATE(A20,B20,1),料率マスタ!$A:$A,料率マスタ!$E:$E,,-1,-1)</f>
        <v/>
      </c>
      <c r="K20" s="10">
        <f>XLOOKUP(DATE(A20,B20,1),料率マスタ!$A:$A,料率マスタ!$F:$F,,-1,-1)</f>
        <v/>
      </c>
      <c r="L20" s="10">
        <f>G20+IF(D20,H20,0)</f>
        <v/>
      </c>
      <c r="M20" s="11">
        <f>E20*L20</f>
        <v/>
      </c>
      <c r="N20" s="11">
        <f>E20*K20</f>
        <v/>
      </c>
      <c r="O20" s="11">
        <f>E20*I20</f>
        <v/>
      </c>
      <c r="P20" s="11">
        <f>ROUNDDOWN(E20*J20,0)</f>
        <v/>
      </c>
      <c r="Q20" s="11">
        <f>ROUNDDOWN(ROUND(M20+N20,2),0)</f>
        <v/>
      </c>
      <c r="R20" s="11">
        <f>INT(M20/2)+IF(MOD(M20,2)&gt;1,1,0)+INT(N20/2)+IF(MOD(N20,2)&gt;1,1,0)</f>
        <v/>
      </c>
      <c r="S20" s="11">
        <f>Q20-R20</f>
        <v/>
      </c>
      <c r="T20" s="11">
        <f>ROUNDDOWN(O20,0)</f>
        <v/>
      </c>
      <c r="U20" s="11">
        <f>INT(O20/2)+IF(MOD(O20,2)&gt;1,1,0)</f>
        <v/>
      </c>
      <c r="V20" s="11">
        <f>T20-U20</f>
        <v/>
      </c>
      <c r="W20" s="11">
        <f>P20</f>
        <v/>
      </c>
      <c r="X20" s="11">
        <f>W20</f>
        <v/>
      </c>
      <c r="Y20" s="11">
        <f>R20+U20</f>
        <v/>
      </c>
      <c r="Z20" s="11">
        <f>S20+V20+X20</f>
        <v/>
      </c>
      <c r="AA20" s="11">
        <f>Q20+T20+W20</f>
        <v/>
      </c>
      <c r="AB20" s="11">
        <f>F20-Y20</f>
        <v/>
      </c>
      <c r="AC20" s="9" t="n"/>
      <c r="AD20" s="12">
        <f>IF(AC20="","",AA20-AC20)</f>
        <v/>
      </c>
    </row>
    <row r="21">
      <c r="A21" s="2" t="n">
        <v>2018</v>
      </c>
      <c r="B21" s="2" t="n">
        <v>1</v>
      </c>
      <c r="C21" s="8">
        <f>IF(設定!$B$3="","",DATEDIF(設定!$B$3,EOMONTH(DATE(A21,B21,1),0),"Y"))</f>
        <v/>
      </c>
      <c r="D21" s="8">
        <f>IF(設定!$B$3="",FALSE,AND(EOMONTH(DATE(A21,B21,1),0)&gt;=DATE(YEAR(設定!$B$3)+40,MONTH(設定!$B$3),DAY(設定!$B$3))-1,EOMONTH(DATE(A21,B21,1),0)&lt;DATE(YEAR(設定!$B$3)+65,MONTH(設定!$B$3),DAY(設定!$B$3))-1))</f>
        <v/>
      </c>
      <c r="E21" s="9" t="n">
        <v>88000</v>
      </c>
      <c r="F21" s="9" t="n">
        <v>83000</v>
      </c>
      <c r="G21" s="10">
        <f>XLOOKUP(DATE(A21,B21,1),料率マスタ!$A:$A,料率マスタ!$B:$B,,-1,-1)</f>
        <v/>
      </c>
      <c r="H21" s="10">
        <f>XLOOKUP(DATE(A21,B21,1),料率マスタ!$A:$A,料率マスタ!$C:$C,,-1,-1)</f>
        <v/>
      </c>
      <c r="I21" s="10">
        <f>XLOOKUP(DATE(A21,B21,1),料率マスタ!$A:$A,料率マスタ!$D:$D,,-1,-1)</f>
        <v/>
      </c>
      <c r="J21" s="10">
        <f>XLOOKUP(DATE(A21,B21,1),料率マスタ!$A:$A,料率マスタ!$E:$E,,-1,-1)</f>
        <v/>
      </c>
      <c r="K21" s="10">
        <f>XLOOKUP(DATE(A21,B21,1),料率マスタ!$A:$A,料率マスタ!$F:$F,,-1,-1)</f>
        <v/>
      </c>
      <c r="L21" s="10">
        <f>G21+IF(D21,H21,0)</f>
        <v/>
      </c>
      <c r="M21" s="11">
        <f>E21*L21</f>
        <v/>
      </c>
      <c r="N21" s="11">
        <f>E21*K21</f>
        <v/>
      </c>
      <c r="O21" s="11">
        <f>E21*I21</f>
        <v/>
      </c>
      <c r="P21" s="11">
        <f>ROUNDDOWN(E21*J21,0)</f>
        <v/>
      </c>
      <c r="Q21" s="11">
        <f>ROUNDDOWN(ROUND(M21+N21,2),0)</f>
        <v/>
      </c>
      <c r="R21" s="11">
        <f>INT(M21/2)+IF(MOD(M21,2)&gt;1,1,0)+INT(N21/2)+IF(MOD(N21,2)&gt;1,1,0)</f>
        <v/>
      </c>
      <c r="S21" s="11">
        <f>Q21-R21</f>
        <v/>
      </c>
      <c r="T21" s="11">
        <f>ROUNDDOWN(O21,0)</f>
        <v/>
      </c>
      <c r="U21" s="11">
        <f>INT(O21/2)+IF(MOD(O21,2)&gt;1,1,0)</f>
        <v/>
      </c>
      <c r="V21" s="11">
        <f>T21-U21</f>
        <v/>
      </c>
      <c r="W21" s="11">
        <f>P21</f>
        <v/>
      </c>
      <c r="X21" s="11">
        <f>W21</f>
        <v/>
      </c>
      <c r="Y21" s="11">
        <f>R21+U21</f>
        <v/>
      </c>
      <c r="Z21" s="11">
        <f>S21+V21+X21</f>
        <v/>
      </c>
      <c r="AA21" s="11">
        <f>Q21+T21+W21</f>
        <v/>
      </c>
      <c r="AB21" s="11">
        <f>F21-Y21</f>
        <v/>
      </c>
      <c r="AC21" s="9" t="n"/>
      <c r="AD21" s="12">
        <f>IF(AC21="","",AA21-AC21)</f>
        <v/>
      </c>
    </row>
    <row r="22">
      <c r="A22" s="2" t="n">
        <v>2018</v>
      </c>
      <c r="B22" s="2" t="n">
        <v>2</v>
      </c>
      <c r="C22" s="8">
        <f>IF(設定!$B$3="","",DATEDIF(設定!$B$3,EOMONTH(DATE(A22,B22,1),0),"Y"))</f>
        <v/>
      </c>
      <c r="D22" s="8">
        <f>IF(設定!$B$3="",FALSE,AND(EOMONTH(DATE(A22,B22,1),0)&gt;=DATE(YEAR(設定!$B$3)+40,MONTH(設定!$B$3),DAY(設定!$B$3))-1,EOMONTH(DATE(A22,B22,1),0)&lt;DATE(YEAR(設定!$B$3)+65,MONTH(設定!$B$3),DAY(設定!$B$3))-1))</f>
        <v/>
      </c>
      <c r="E22" s="9" t="n">
        <v>88000</v>
      </c>
      <c r="F22" s="9" t="n">
        <v>83000</v>
      </c>
      <c r="G22" s="10">
        <f>XLOOKUP(DATE(A22,B22,1),料率マスタ!$A:$A,料率マスタ!$B:$B,,-1,-1)</f>
        <v/>
      </c>
      <c r="H22" s="10">
        <f>XLOOKUP(DATE(A22,B22,1),料率マスタ!$A:$A,料率マスタ!$C:$C,,-1,-1)</f>
        <v/>
      </c>
      <c r="I22" s="10">
        <f>XLOOKUP(DATE(A22,B22,1),料率マスタ!$A:$A,料率マスタ!$D:$D,,-1,-1)</f>
        <v/>
      </c>
      <c r="J22" s="10">
        <f>XLOOKUP(DATE(A22,B22,1),料率マスタ!$A:$A,料率マスタ!$E:$E,,-1,-1)</f>
        <v/>
      </c>
      <c r="K22" s="10">
        <f>XLOOKUP(DATE(A22,B22,1),料率マスタ!$A:$A,料率マスタ!$F:$F,,-1,-1)</f>
        <v/>
      </c>
      <c r="L22" s="10">
        <f>G22+IF(D22,H22,0)</f>
        <v/>
      </c>
      <c r="M22" s="11">
        <f>E22*L22</f>
        <v/>
      </c>
      <c r="N22" s="11">
        <f>E22*K22</f>
        <v/>
      </c>
      <c r="O22" s="11">
        <f>E22*I22</f>
        <v/>
      </c>
      <c r="P22" s="11">
        <f>ROUNDDOWN(E22*J22,0)</f>
        <v/>
      </c>
      <c r="Q22" s="11">
        <f>ROUNDDOWN(ROUND(M22+N22,2),0)</f>
        <v/>
      </c>
      <c r="R22" s="11">
        <f>INT(M22/2)+IF(MOD(M22,2)&gt;1,1,0)+INT(N22/2)+IF(MOD(N22,2)&gt;1,1,0)</f>
        <v/>
      </c>
      <c r="S22" s="11">
        <f>Q22-R22</f>
        <v/>
      </c>
      <c r="T22" s="11">
        <f>ROUNDDOWN(O22,0)</f>
        <v/>
      </c>
      <c r="U22" s="11">
        <f>INT(O22/2)+IF(MOD(O22,2)&gt;1,1,0)</f>
        <v/>
      </c>
      <c r="V22" s="11">
        <f>T22-U22</f>
        <v/>
      </c>
      <c r="W22" s="11">
        <f>P22</f>
        <v/>
      </c>
      <c r="X22" s="11">
        <f>W22</f>
        <v/>
      </c>
      <c r="Y22" s="11">
        <f>R22+U22</f>
        <v/>
      </c>
      <c r="Z22" s="11">
        <f>S22+V22+X22</f>
        <v/>
      </c>
      <c r="AA22" s="11">
        <f>Q22+T22+W22</f>
        <v/>
      </c>
      <c r="AB22" s="11">
        <f>F22-Y22</f>
        <v/>
      </c>
      <c r="AC22" s="9" t="n"/>
      <c r="AD22" s="12">
        <f>IF(AC22="","",AA22-AC22)</f>
        <v/>
      </c>
    </row>
    <row r="23">
      <c r="A23" s="2" t="n">
        <v>2018</v>
      </c>
      <c r="B23" s="2" t="n">
        <v>3</v>
      </c>
      <c r="C23" s="8">
        <f>IF(設定!$B$3="","",DATEDIF(設定!$B$3,EOMONTH(DATE(A23,B23,1),0),"Y"))</f>
        <v/>
      </c>
      <c r="D23" s="8">
        <f>IF(設定!$B$3="",FALSE,AND(EOMONTH(DATE(A23,B23,1),0)&gt;=DATE(YEAR(設定!$B$3)+40,MONTH(設定!$B$3),DAY(設定!$B$3))-1,EOMONTH(DATE(A23,B23,1),0)&lt;DATE(YEAR(設定!$B$3)+65,MONTH(設定!$B$3),DAY(設定!$B$3))-1))</f>
        <v/>
      </c>
      <c r="E23" s="9" t="n">
        <v>88000</v>
      </c>
      <c r="F23" s="9" t="n">
        <v>83000</v>
      </c>
      <c r="G23" s="10">
        <f>XLOOKUP(DATE(A23,B23,1),料率マスタ!$A:$A,料率マスタ!$B:$B,,-1,-1)</f>
        <v/>
      </c>
      <c r="H23" s="10">
        <f>XLOOKUP(DATE(A23,B23,1),料率マスタ!$A:$A,料率マスタ!$C:$C,,-1,-1)</f>
        <v/>
      </c>
      <c r="I23" s="10">
        <f>XLOOKUP(DATE(A23,B23,1),料率マスタ!$A:$A,料率マスタ!$D:$D,,-1,-1)</f>
        <v/>
      </c>
      <c r="J23" s="10">
        <f>XLOOKUP(DATE(A23,B23,1),料率マスタ!$A:$A,料率マスタ!$E:$E,,-1,-1)</f>
        <v/>
      </c>
      <c r="K23" s="10">
        <f>XLOOKUP(DATE(A23,B23,1),料率マスタ!$A:$A,料率マスタ!$F:$F,,-1,-1)</f>
        <v/>
      </c>
      <c r="L23" s="10">
        <f>G23+IF(D23,H23,0)</f>
        <v/>
      </c>
      <c r="M23" s="11">
        <f>E23*L23</f>
        <v/>
      </c>
      <c r="N23" s="11">
        <f>E23*K23</f>
        <v/>
      </c>
      <c r="O23" s="11">
        <f>E23*I23</f>
        <v/>
      </c>
      <c r="P23" s="11">
        <f>ROUNDDOWN(E23*J23,0)</f>
        <v/>
      </c>
      <c r="Q23" s="11">
        <f>ROUNDDOWN(ROUND(M23+N23,2),0)</f>
        <v/>
      </c>
      <c r="R23" s="11">
        <f>INT(M23/2)+IF(MOD(M23,2)&gt;1,1,0)+INT(N23/2)+IF(MOD(N23,2)&gt;1,1,0)</f>
        <v/>
      </c>
      <c r="S23" s="11">
        <f>Q23-R23</f>
        <v/>
      </c>
      <c r="T23" s="11">
        <f>ROUNDDOWN(O23,0)</f>
        <v/>
      </c>
      <c r="U23" s="11">
        <f>INT(O23/2)+IF(MOD(O23,2)&gt;1,1,0)</f>
        <v/>
      </c>
      <c r="V23" s="11">
        <f>T23-U23</f>
        <v/>
      </c>
      <c r="W23" s="11">
        <f>P23</f>
        <v/>
      </c>
      <c r="X23" s="11">
        <f>W23</f>
        <v/>
      </c>
      <c r="Y23" s="11">
        <f>R23+U23</f>
        <v/>
      </c>
      <c r="Z23" s="11">
        <f>S23+V23+X23</f>
        <v/>
      </c>
      <c r="AA23" s="11">
        <f>Q23+T23+W23</f>
        <v/>
      </c>
      <c r="AB23" s="11">
        <f>F23-Y23</f>
        <v/>
      </c>
      <c r="AC23" s="9" t="n"/>
      <c r="AD23" s="12">
        <f>IF(AC23="","",AA23-AC23)</f>
        <v/>
      </c>
    </row>
    <row r="24">
      <c r="A24" s="2" t="n">
        <v>2018</v>
      </c>
      <c r="B24" s="2" t="n">
        <v>4</v>
      </c>
      <c r="C24" s="8">
        <f>IF(設定!$B$3="","",DATEDIF(設定!$B$3,EOMONTH(DATE(A24,B24,1),0),"Y"))</f>
        <v/>
      </c>
      <c r="D24" s="8">
        <f>IF(設定!$B$3="",FALSE,AND(EOMONTH(DATE(A24,B24,1),0)&gt;=DATE(YEAR(設定!$B$3)+40,MONTH(設定!$B$3),DAY(設定!$B$3))-1,EOMONTH(DATE(A24,B24,1),0)&lt;DATE(YEAR(設定!$B$3)+65,MONTH(設定!$B$3),DAY(設定!$B$3))-1))</f>
        <v/>
      </c>
      <c r="E24" s="9" t="n">
        <v>88000</v>
      </c>
      <c r="F24" s="9" t="n">
        <v>83000</v>
      </c>
      <c r="G24" s="10">
        <f>XLOOKUP(DATE(A24,B24,1),料率マスタ!$A:$A,料率マスタ!$B:$B,,-1,-1)</f>
        <v/>
      </c>
      <c r="H24" s="10">
        <f>XLOOKUP(DATE(A24,B24,1),料率マスタ!$A:$A,料率マスタ!$C:$C,,-1,-1)</f>
        <v/>
      </c>
      <c r="I24" s="10">
        <f>XLOOKUP(DATE(A24,B24,1),料率マスタ!$A:$A,料率マスタ!$D:$D,,-1,-1)</f>
        <v/>
      </c>
      <c r="J24" s="10">
        <f>XLOOKUP(DATE(A24,B24,1),料率マスタ!$A:$A,料率マスタ!$E:$E,,-1,-1)</f>
        <v/>
      </c>
      <c r="K24" s="10">
        <f>XLOOKUP(DATE(A24,B24,1),料率マスタ!$A:$A,料率マスタ!$F:$F,,-1,-1)</f>
        <v/>
      </c>
      <c r="L24" s="10">
        <f>G24+IF(D24,H24,0)</f>
        <v/>
      </c>
      <c r="M24" s="11">
        <f>E24*L24</f>
        <v/>
      </c>
      <c r="N24" s="11">
        <f>E24*K24</f>
        <v/>
      </c>
      <c r="O24" s="11">
        <f>E24*I24</f>
        <v/>
      </c>
      <c r="P24" s="11">
        <f>ROUNDDOWN(E24*J24,0)</f>
        <v/>
      </c>
      <c r="Q24" s="11">
        <f>ROUNDDOWN(ROUND(M24+N24,2),0)</f>
        <v/>
      </c>
      <c r="R24" s="11">
        <f>INT(M24/2)+IF(MOD(M24,2)&gt;1,1,0)+INT(N24/2)+IF(MOD(N24,2)&gt;1,1,0)</f>
        <v/>
      </c>
      <c r="S24" s="11">
        <f>Q24-R24</f>
        <v/>
      </c>
      <c r="T24" s="11">
        <f>ROUNDDOWN(O24,0)</f>
        <v/>
      </c>
      <c r="U24" s="11">
        <f>INT(O24/2)+IF(MOD(O24,2)&gt;1,1,0)</f>
        <v/>
      </c>
      <c r="V24" s="11">
        <f>T24-U24</f>
        <v/>
      </c>
      <c r="W24" s="11">
        <f>P24</f>
        <v/>
      </c>
      <c r="X24" s="11">
        <f>W24</f>
        <v/>
      </c>
      <c r="Y24" s="11">
        <f>R24+U24</f>
        <v/>
      </c>
      <c r="Z24" s="11">
        <f>S24+V24+X24</f>
        <v/>
      </c>
      <c r="AA24" s="11">
        <f>Q24+T24+W24</f>
        <v/>
      </c>
      <c r="AB24" s="11">
        <f>F24-Y24</f>
        <v/>
      </c>
      <c r="AC24" s="9" t="n"/>
      <c r="AD24" s="12">
        <f>IF(AC24="","",AA24-AC24)</f>
        <v/>
      </c>
    </row>
    <row r="25">
      <c r="A25" s="2" t="n">
        <v>2018</v>
      </c>
      <c r="B25" s="2" t="n">
        <v>5</v>
      </c>
      <c r="C25" s="8">
        <f>IF(設定!$B$3="","",DATEDIF(設定!$B$3,EOMONTH(DATE(A25,B25,1),0),"Y"))</f>
        <v/>
      </c>
      <c r="D25" s="8">
        <f>IF(設定!$B$3="",FALSE,AND(EOMONTH(DATE(A25,B25,1),0)&gt;=DATE(YEAR(設定!$B$3)+40,MONTH(設定!$B$3),DAY(設定!$B$3))-1,EOMONTH(DATE(A25,B25,1),0)&lt;DATE(YEAR(設定!$B$3)+65,MONTH(設定!$B$3),DAY(設定!$B$3))-1))</f>
        <v/>
      </c>
      <c r="E25" s="9" t="n">
        <v>88000</v>
      </c>
      <c r="F25" s="9" t="n">
        <v>83000</v>
      </c>
      <c r="G25" s="10">
        <f>XLOOKUP(DATE(A25,B25,1),料率マスタ!$A:$A,料率マスタ!$B:$B,,-1,-1)</f>
        <v/>
      </c>
      <c r="H25" s="10">
        <f>XLOOKUP(DATE(A25,B25,1),料率マスタ!$A:$A,料率マスタ!$C:$C,,-1,-1)</f>
        <v/>
      </c>
      <c r="I25" s="10">
        <f>XLOOKUP(DATE(A25,B25,1),料率マスタ!$A:$A,料率マスタ!$D:$D,,-1,-1)</f>
        <v/>
      </c>
      <c r="J25" s="10">
        <f>XLOOKUP(DATE(A25,B25,1),料率マスタ!$A:$A,料率マスタ!$E:$E,,-1,-1)</f>
        <v/>
      </c>
      <c r="K25" s="10">
        <f>XLOOKUP(DATE(A25,B25,1),料率マスタ!$A:$A,料率マスタ!$F:$F,,-1,-1)</f>
        <v/>
      </c>
      <c r="L25" s="10">
        <f>G25+IF(D25,H25,0)</f>
        <v/>
      </c>
      <c r="M25" s="11">
        <f>E25*L25</f>
        <v/>
      </c>
      <c r="N25" s="11">
        <f>E25*K25</f>
        <v/>
      </c>
      <c r="O25" s="11">
        <f>E25*I25</f>
        <v/>
      </c>
      <c r="P25" s="11">
        <f>ROUNDDOWN(E25*J25,0)</f>
        <v/>
      </c>
      <c r="Q25" s="11">
        <f>ROUNDDOWN(ROUND(M25+N25,2),0)</f>
        <v/>
      </c>
      <c r="R25" s="11">
        <f>INT(M25/2)+IF(MOD(M25,2)&gt;1,1,0)+INT(N25/2)+IF(MOD(N25,2)&gt;1,1,0)</f>
        <v/>
      </c>
      <c r="S25" s="11">
        <f>Q25-R25</f>
        <v/>
      </c>
      <c r="T25" s="11">
        <f>ROUNDDOWN(O25,0)</f>
        <v/>
      </c>
      <c r="U25" s="11">
        <f>INT(O25/2)+IF(MOD(O25,2)&gt;1,1,0)</f>
        <v/>
      </c>
      <c r="V25" s="11">
        <f>T25-U25</f>
        <v/>
      </c>
      <c r="W25" s="11">
        <f>P25</f>
        <v/>
      </c>
      <c r="X25" s="11">
        <f>W25</f>
        <v/>
      </c>
      <c r="Y25" s="11">
        <f>R25+U25</f>
        <v/>
      </c>
      <c r="Z25" s="11">
        <f>S25+V25+X25</f>
        <v/>
      </c>
      <c r="AA25" s="11">
        <f>Q25+T25+W25</f>
        <v/>
      </c>
      <c r="AB25" s="11">
        <f>F25-Y25</f>
        <v/>
      </c>
      <c r="AC25" s="9" t="n"/>
      <c r="AD25" s="12">
        <f>IF(AC25="","",AA25-AC25)</f>
        <v/>
      </c>
    </row>
    <row r="26">
      <c r="A26" s="2" t="n">
        <v>2018</v>
      </c>
      <c r="B26" s="2" t="n">
        <v>6</v>
      </c>
      <c r="C26" s="8">
        <f>IF(設定!$B$3="","",DATEDIF(設定!$B$3,EOMONTH(DATE(A26,B26,1),0),"Y"))</f>
        <v/>
      </c>
      <c r="D26" s="8">
        <f>IF(設定!$B$3="",FALSE,AND(EOMONTH(DATE(A26,B26,1),0)&gt;=DATE(YEAR(設定!$B$3)+40,MONTH(設定!$B$3),DAY(設定!$B$3))-1,EOMONTH(DATE(A26,B26,1),0)&lt;DATE(YEAR(設定!$B$3)+65,MONTH(設定!$B$3),DAY(設定!$B$3))-1))</f>
        <v/>
      </c>
      <c r="E26" s="9" t="n">
        <v>88000</v>
      </c>
      <c r="F26" s="9" t="n">
        <v>83000</v>
      </c>
      <c r="G26" s="10">
        <f>XLOOKUP(DATE(A26,B26,1),料率マスタ!$A:$A,料率マスタ!$B:$B,,-1,-1)</f>
        <v/>
      </c>
      <c r="H26" s="10">
        <f>XLOOKUP(DATE(A26,B26,1),料率マスタ!$A:$A,料率マスタ!$C:$C,,-1,-1)</f>
        <v/>
      </c>
      <c r="I26" s="10">
        <f>XLOOKUP(DATE(A26,B26,1),料率マスタ!$A:$A,料率マスタ!$D:$D,,-1,-1)</f>
        <v/>
      </c>
      <c r="J26" s="10">
        <f>XLOOKUP(DATE(A26,B26,1),料率マスタ!$A:$A,料率マスタ!$E:$E,,-1,-1)</f>
        <v/>
      </c>
      <c r="K26" s="10">
        <f>XLOOKUP(DATE(A26,B26,1),料率マスタ!$A:$A,料率マスタ!$F:$F,,-1,-1)</f>
        <v/>
      </c>
      <c r="L26" s="10">
        <f>G26+IF(D26,H26,0)</f>
        <v/>
      </c>
      <c r="M26" s="11">
        <f>E26*L26</f>
        <v/>
      </c>
      <c r="N26" s="11">
        <f>E26*K26</f>
        <v/>
      </c>
      <c r="O26" s="11">
        <f>E26*I26</f>
        <v/>
      </c>
      <c r="P26" s="11">
        <f>ROUNDDOWN(E26*J26,0)</f>
        <v/>
      </c>
      <c r="Q26" s="11">
        <f>ROUNDDOWN(ROUND(M26+N26,2),0)</f>
        <v/>
      </c>
      <c r="R26" s="11">
        <f>INT(M26/2)+IF(MOD(M26,2)&gt;1,1,0)+INT(N26/2)+IF(MOD(N26,2)&gt;1,1,0)</f>
        <v/>
      </c>
      <c r="S26" s="11">
        <f>Q26-R26</f>
        <v/>
      </c>
      <c r="T26" s="11">
        <f>ROUNDDOWN(O26,0)</f>
        <v/>
      </c>
      <c r="U26" s="11">
        <f>INT(O26/2)+IF(MOD(O26,2)&gt;1,1,0)</f>
        <v/>
      </c>
      <c r="V26" s="11">
        <f>T26-U26</f>
        <v/>
      </c>
      <c r="W26" s="11">
        <f>P26</f>
        <v/>
      </c>
      <c r="X26" s="11">
        <f>W26</f>
        <v/>
      </c>
      <c r="Y26" s="11">
        <f>R26+U26</f>
        <v/>
      </c>
      <c r="Z26" s="11">
        <f>S26+V26+X26</f>
        <v/>
      </c>
      <c r="AA26" s="11">
        <f>Q26+T26+W26</f>
        <v/>
      </c>
      <c r="AB26" s="11">
        <f>F26-Y26</f>
        <v/>
      </c>
      <c r="AC26" s="9" t="n"/>
      <c r="AD26" s="12">
        <f>IF(AC26="","",AA26-AC26)</f>
        <v/>
      </c>
    </row>
    <row r="27">
      <c r="A27" s="2" t="n">
        <v>2018</v>
      </c>
      <c r="B27" s="2" t="n">
        <v>7</v>
      </c>
      <c r="C27" s="8">
        <f>IF(設定!$B$3="","",DATEDIF(設定!$B$3,EOMONTH(DATE(A27,B27,1),0),"Y"))</f>
        <v/>
      </c>
      <c r="D27" s="8">
        <f>IF(設定!$B$3="",FALSE,AND(EOMONTH(DATE(A27,B27,1),0)&gt;=DATE(YEAR(設定!$B$3)+40,MONTH(設定!$B$3),DAY(設定!$B$3))-1,EOMONTH(DATE(A27,B27,1),0)&lt;DATE(YEAR(設定!$B$3)+65,MONTH(設定!$B$3),DAY(設定!$B$3))-1))</f>
        <v/>
      </c>
      <c r="E27" s="9" t="n">
        <v>88000</v>
      </c>
      <c r="F27" s="9" t="n">
        <v>83000</v>
      </c>
      <c r="G27" s="10">
        <f>XLOOKUP(DATE(A27,B27,1),料率マスタ!$A:$A,料率マスタ!$B:$B,,-1,-1)</f>
        <v/>
      </c>
      <c r="H27" s="10">
        <f>XLOOKUP(DATE(A27,B27,1),料率マスタ!$A:$A,料率マスタ!$C:$C,,-1,-1)</f>
        <v/>
      </c>
      <c r="I27" s="10">
        <f>XLOOKUP(DATE(A27,B27,1),料率マスタ!$A:$A,料率マスタ!$D:$D,,-1,-1)</f>
        <v/>
      </c>
      <c r="J27" s="10">
        <f>XLOOKUP(DATE(A27,B27,1),料率マスタ!$A:$A,料率マスタ!$E:$E,,-1,-1)</f>
        <v/>
      </c>
      <c r="K27" s="10">
        <f>XLOOKUP(DATE(A27,B27,1),料率マスタ!$A:$A,料率マスタ!$F:$F,,-1,-1)</f>
        <v/>
      </c>
      <c r="L27" s="10">
        <f>G27+IF(D27,H27,0)</f>
        <v/>
      </c>
      <c r="M27" s="11">
        <f>E27*L27</f>
        <v/>
      </c>
      <c r="N27" s="11">
        <f>E27*K27</f>
        <v/>
      </c>
      <c r="O27" s="11">
        <f>E27*I27</f>
        <v/>
      </c>
      <c r="P27" s="11">
        <f>ROUNDDOWN(E27*J27,0)</f>
        <v/>
      </c>
      <c r="Q27" s="11">
        <f>ROUNDDOWN(ROUND(M27+N27,2),0)</f>
        <v/>
      </c>
      <c r="R27" s="11">
        <f>INT(M27/2)+IF(MOD(M27,2)&gt;1,1,0)+INT(N27/2)+IF(MOD(N27,2)&gt;1,1,0)</f>
        <v/>
      </c>
      <c r="S27" s="11">
        <f>Q27-R27</f>
        <v/>
      </c>
      <c r="T27" s="11">
        <f>ROUNDDOWN(O27,0)</f>
        <v/>
      </c>
      <c r="U27" s="11">
        <f>INT(O27/2)+IF(MOD(O27,2)&gt;1,1,0)</f>
        <v/>
      </c>
      <c r="V27" s="11">
        <f>T27-U27</f>
        <v/>
      </c>
      <c r="W27" s="11">
        <f>P27</f>
        <v/>
      </c>
      <c r="X27" s="11">
        <f>W27</f>
        <v/>
      </c>
      <c r="Y27" s="11">
        <f>R27+U27</f>
        <v/>
      </c>
      <c r="Z27" s="11">
        <f>S27+V27+X27</f>
        <v/>
      </c>
      <c r="AA27" s="11">
        <f>Q27+T27+W27</f>
        <v/>
      </c>
      <c r="AB27" s="11">
        <f>F27-Y27</f>
        <v/>
      </c>
      <c r="AC27" s="9" t="n"/>
      <c r="AD27" s="12">
        <f>IF(AC27="","",AA27-AC27)</f>
        <v/>
      </c>
    </row>
    <row r="28">
      <c r="A28" s="2" t="n">
        <v>2018</v>
      </c>
      <c r="B28" s="2" t="n">
        <v>8</v>
      </c>
      <c r="C28" s="8">
        <f>IF(設定!$B$3="","",DATEDIF(設定!$B$3,EOMONTH(DATE(A28,B28,1),0),"Y"))</f>
        <v/>
      </c>
      <c r="D28" s="8">
        <f>IF(設定!$B$3="",FALSE,AND(EOMONTH(DATE(A28,B28,1),0)&gt;=DATE(YEAR(設定!$B$3)+40,MONTH(設定!$B$3),DAY(設定!$B$3))-1,EOMONTH(DATE(A28,B28,1),0)&lt;DATE(YEAR(設定!$B$3)+65,MONTH(設定!$B$3),DAY(設定!$B$3))-1))</f>
        <v/>
      </c>
      <c r="E28" s="9" t="n">
        <v>88000</v>
      </c>
      <c r="F28" s="9" t="n">
        <v>83000</v>
      </c>
      <c r="G28" s="10">
        <f>XLOOKUP(DATE(A28,B28,1),料率マスタ!$A:$A,料率マスタ!$B:$B,,-1,-1)</f>
        <v/>
      </c>
      <c r="H28" s="10">
        <f>XLOOKUP(DATE(A28,B28,1),料率マスタ!$A:$A,料率マスタ!$C:$C,,-1,-1)</f>
        <v/>
      </c>
      <c r="I28" s="10">
        <f>XLOOKUP(DATE(A28,B28,1),料率マスタ!$A:$A,料率マスタ!$D:$D,,-1,-1)</f>
        <v/>
      </c>
      <c r="J28" s="10">
        <f>XLOOKUP(DATE(A28,B28,1),料率マスタ!$A:$A,料率マスタ!$E:$E,,-1,-1)</f>
        <v/>
      </c>
      <c r="K28" s="10">
        <f>XLOOKUP(DATE(A28,B28,1),料率マスタ!$A:$A,料率マスタ!$F:$F,,-1,-1)</f>
        <v/>
      </c>
      <c r="L28" s="10">
        <f>G28+IF(D28,H28,0)</f>
        <v/>
      </c>
      <c r="M28" s="11">
        <f>E28*L28</f>
        <v/>
      </c>
      <c r="N28" s="11">
        <f>E28*K28</f>
        <v/>
      </c>
      <c r="O28" s="11">
        <f>E28*I28</f>
        <v/>
      </c>
      <c r="P28" s="11">
        <f>ROUNDDOWN(E28*J28,0)</f>
        <v/>
      </c>
      <c r="Q28" s="11">
        <f>ROUNDDOWN(ROUND(M28+N28,2),0)</f>
        <v/>
      </c>
      <c r="R28" s="11">
        <f>INT(M28/2)+IF(MOD(M28,2)&gt;1,1,0)+INT(N28/2)+IF(MOD(N28,2)&gt;1,1,0)</f>
        <v/>
      </c>
      <c r="S28" s="11">
        <f>Q28-R28</f>
        <v/>
      </c>
      <c r="T28" s="11">
        <f>ROUNDDOWN(O28,0)</f>
        <v/>
      </c>
      <c r="U28" s="11">
        <f>INT(O28/2)+IF(MOD(O28,2)&gt;1,1,0)</f>
        <v/>
      </c>
      <c r="V28" s="11">
        <f>T28-U28</f>
        <v/>
      </c>
      <c r="W28" s="11">
        <f>P28</f>
        <v/>
      </c>
      <c r="X28" s="11">
        <f>W28</f>
        <v/>
      </c>
      <c r="Y28" s="11">
        <f>R28+U28</f>
        <v/>
      </c>
      <c r="Z28" s="11">
        <f>S28+V28+X28</f>
        <v/>
      </c>
      <c r="AA28" s="11">
        <f>Q28+T28+W28</f>
        <v/>
      </c>
      <c r="AB28" s="11">
        <f>F28-Y28</f>
        <v/>
      </c>
      <c r="AC28" s="9" t="n"/>
      <c r="AD28" s="12">
        <f>IF(AC28="","",AA28-AC28)</f>
        <v/>
      </c>
    </row>
    <row r="29">
      <c r="A29" s="2" t="n">
        <v>2018</v>
      </c>
      <c r="B29" s="2" t="n">
        <v>9</v>
      </c>
      <c r="C29" s="8">
        <f>IF(設定!$B$3="","",DATEDIF(設定!$B$3,EOMONTH(DATE(A29,B29,1),0),"Y"))</f>
        <v/>
      </c>
      <c r="D29" s="8">
        <f>IF(設定!$B$3="",FALSE,AND(EOMONTH(DATE(A29,B29,1),0)&gt;=DATE(YEAR(設定!$B$3)+40,MONTH(設定!$B$3),DAY(設定!$B$3))-1,EOMONTH(DATE(A29,B29,1),0)&lt;DATE(YEAR(設定!$B$3)+65,MONTH(設定!$B$3),DAY(設定!$B$3))-1))</f>
        <v/>
      </c>
      <c r="E29" s="9" t="n">
        <v>88000</v>
      </c>
      <c r="F29" s="9" t="n">
        <v>83000</v>
      </c>
      <c r="G29" s="10">
        <f>XLOOKUP(DATE(A29,B29,1),料率マスタ!$A:$A,料率マスタ!$B:$B,,-1,-1)</f>
        <v/>
      </c>
      <c r="H29" s="10">
        <f>XLOOKUP(DATE(A29,B29,1),料率マスタ!$A:$A,料率マスタ!$C:$C,,-1,-1)</f>
        <v/>
      </c>
      <c r="I29" s="10">
        <f>XLOOKUP(DATE(A29,B29,1),料率マスタ!$A:$A,料率マスタ!$D:$D,,-1,-1)</f>
        <v/>
      </c>
      <c r="J29" s="10">
        <f>XLOOKUP(DATE(A29,B29,1),料率マスタ!$A:$A,料率マスタ!$E:$E,,-1,-1)</f>
        <v/>
      </c>
      <c r="K29" s="10">
        <f>XLOOKUP(DATE(A29,B29,1),料率マスタ!$A:$A,料率マスタ!$F:$F,,-1,-1)</f>
        <v/>
      </c>
      <c r="L29" s="10">
        <f>G29+IF(D29,H29,0)</f>
        <v/>
      </c>
      <c r="M29" s="11">
        <f>E29*L29</f>
        <v/>
      </c>
      <c r="N29" s="11">
        <f>E29*K29</f>
        <v/>
      </c>
      <c r="O29" s="11">
        <f>E29*I29</f>
        <v/>
      </c>
      <c r="P29" s="11">
        <f>ROUNDDOWN(E29*J29,0)</f>
        <v/>
      </c>
      <c r="Q29" s="11">
        <f>ROUNDDOWN(ROUND(M29+N29,2),0)</f>
        <v/>
      </c>
      <c r="R29" s="11">
        <f>INT(M29/2)+IF(MOD(M29,2)&gt;1,1,0)+INT(N29/2)+IF(MOD(N29,2)&gt;1,1,0)</f>
        <v/>
      </c>
      <c r="S29" s="11">
        <f>Q29-R29</f>
        <v/>
      </c>
      <c r="T29" s="11">
        <f>ROUNDDOWN(O29,0)</f>
        <v/>
      </c>
      <c r="U29" s="11">
        <f>INT(O29/2)+IF(MOD(O29,2)&gt;1,1,0)</f>
        <v/>
      </c>
      <c r="V29" s="11">
        <f>T29-U29</f>
        <v/>
      </c>
      <c r="W29" s="11">
        <f>P29</f>
        <v/>
      </c>
      <c r="X29" s="11">
        <f>W29</f>
        <v/>
      </c>
      <c r="Y29" s="11">
        <f>R29+U29</f>
        <v/>
      </c>
      <c r="Z29" s="11">
        <f>S29+V29+X29</f>
        <v/>
      </c>
      <c r="AA29" s="11">
        <f>Q29+T29+W29</f>
        <v/>
      </c>
      <c r="AB29" s="11">
        <f>F29-Y29</f>
        <v/>
      </c>
      <c r="AC29" s="9" t="n"/>
      <c r="AD29" s="12">
        <f>IF(AC29="","",AA29-AC29)</f>
        <v/>
      </c>
    </row>
    <row r="30">
      <c r="A30" s="2" t="n">
        <v>2018</v>
      </c>
      <c r="B30" s="2" t="n">
        <v>10</v>
      </c>
      <c r="C30" s="8">
        <f>IF(設定!$B$3="","",DATEDIF(設定!$B$3,EOMONTH(DATE(A30,B30,1),0),"Y"))</f>
        <v/>
      </c>
      <c r="D30" s="8">
        <f>IF(設定!$B$3="",FALSE,AND(EOMONTH(DATE(A30,B30,1),0)&gt;=DATE(YEAR(設定!$B$3)+40,MONTH(設定!$B$3),DAY(設定!$B$3))-1,EOMONTH(DATE(A30,B30,1),0)&lt;DATE(YEAR(設定!$B$3)+65,MONTH(設定!$B$3),DAY(設定!$B$3))-1))</f>
        <v/>
      </c>
      <c r="E30" s="9" t="n">
        <v>88000</v>
      </c>
      <c r="F30" s="9" t="n">
        <v>83000</v>
      </c>
      <c r="G30" s="10">
        <f>XLOOKUP(DATE(A30,B30,1),料率マスタ!$A:$A,料率マスタ!$B:$B,,-1,-1)</f>
        <v/>
      </c>
      <c r="H30" s="10">
        <f>XLOOKUP(DATE(A30,B30,1),料率マスタ!$A:$A,料率マスタ!$C:$C,,-1,-1)</f>
        <v/>
      </c>
      <c r="I30" s="10">
        <f>XLOOKUP(DATE(A30,B30,1),料率マスタ!$A:$A,料率マスタ!$D:$D,,-1,-1)</f>
        <v/>
      </c>
      <c r="J30" s="10">
        <f>XLOOKUP(DATE(A30,B30,1),料率マスタ!$A:$A,料率マスタ!$E:$E,,-1,-1)</f>
        <v/>
      </c>
      <c r="K30" s="10">
        <f>XLOOKUP(DATE(A30,B30,1),料率マスタ!$A:$A,料率マスタ!$F:$F,,-1,-1)</f>
        <v/>
      </c>
      <c r="L30" s="10">
        <f>G30+IF(D30,H30,0)</f>
        <v/>
      </c>
      <c r="M30" s="11">
        <f>E30*L30</f>
        <v/>
      </c>
      <c r="N30" s="11">
        <f>E30*K30</f>
        <v/>
      </c>
      <c r="O30" s="11">
        <f>E30*I30</f>
        <v/>
      </c>
      <c r="P30" s="11">
        <f>ROUNDDOWN(E30*J30,0)</f>
        <v/>
      </c>
      <c r="Q30" s="11">
        <f>ROUNDDOWN(ROUND(M30+N30,2),0)</f>
        <v/>
      </c>
      <c r="R30" s="11">
        <f>INT(M30/2)+IF(MOD(M30,2)&gt;1,1,0)+INT(N30/2)+IF(MOD(N30,2)&gt;1,1,0)</f>
        <v/>
      </c>
      <c r="S30" s="11">
        <f>Q30-R30</f>
        <v/>
      </c>
      <c r="T30" s="11">
        <f>ROUNDDOWN(O30,0)</f>
        <v/>
      </c>
      <c r="U30" s="11">
        <f>INT(O30/2)+IF(MOD(O30,2)&gt;1,1,0)</f>
        <v/>
      </c>
      <c r="V30" s="11">
        <f>T30-U30</f>
        <v/>
      </c>
      <c r="W30" s="11">
        <f>P30</f>
        <v/>
      </c>
      <c r="X30" s="11">
        <f>W30</f>
        <v/>
      </c>
      <c r="Y30" s="11">
        <f>R30+U30</f>
        <v/>
      </c>
      <c r="Z30" s="11">
        <f>S30+V30+X30</f>
        <v/>
      </c>
      <c r="AA30" s="11">
        <f>Q30+T30+W30</f>
        <v/>
      </c>
      <c r="AB30" s="11">
        <f>F30-Y30</f>
        <v/>
      </c>
      <c r="AC30" s="9" t="n"/>
      <c r="AD30" s="12">
        <f>IF(AC30="","",AA30-AC30)</f>
        <v/>
      </c>
    </row>
    <row r="31">
      <c r="A31" s="2" t="n">
        <v>2018</v>
      </c>
      <c r="B31" s="2" t="n">
        <v>11</v>
      </c>
      <c r="C31" s="8">
        <f>IF(設定!$B$3="","",DATEDIF(設定!$B$3,EOMONTH(DATE(A31,B31,1),0),"Y"))</f>
        <v/>
      </c>
      <c r="D31" s="8">
        <f>IF(設定!$B$3="",FALSE,AND(EOMONTH(DATE(A31,B31,1),0)&gt;=DATE(YEAR(設定!$B$3)+40,MONTH(設定!$B$3),DAY(設定!$B$3))-1,EOMONTH(DATE(A31,B31,1),0)&lt;DATE(YEAR(設定!$B$3)+65,MONTH(設定!$B$3),DAY(設定!$B$3))-1))</f>
        <v/>
      </c>
      <c r="E31" s="9" t="n">
        <v>88000</v>
      </c>
      <c r="F31" s="9" t="n">
        <v>83000</v>
      </c>
      <c r="G31" s="10">
        <f>XLOOKUP(DATE(A31,B31,1),料率マスタ!$A:$A,料率マスタ!$B:$B,,-1,-1)</f>
        <v/>
      </c>
      <c r="H31" s="10">
        <f>XLOOKUP(DATE(A31,B31,1),料率マスタ!$A:$A,料率マスタ!$C:$C,,-1,-1)</f>
        <v/>
      </c>
      <c r="I31" s="10">
        <f>XLOOKUP(DATE(A31,B31,1),料率マスタ!$A:$A,料率マスタ!$D:$D,,-1,-1)</f>
        <v/>
      </c>
      <c r="J31" s="10">
        <f>XLOOKUP(DATE(A31,B31,1),料率マスタ!$A:$A,料率マスタ!$E:$E,,-1,-1)</f>
        <v/>
      </c>
      <c r="K31" s="10">
        <f>XLOOKUP(DATE(A31,B31,1),料率マスタ!$A:$A,料率マスタ!$F:$F,,-1,-1)</f>
        <v/>
      </c>
      <c r="L31" s="10">
        <f>G31+IF(D31,H31,0)</f>
        <v/>
      </c>
      <c r="M31" s="11">
        <f>E31*L31</f>
        <v/>
      </c>
      <c r="N31" s="11">
        <f>E31*K31</f>
        <v/>
      </c>
      <c r="O31" s="11">
        <f>E31*I31</f>
        <v/>
      </c>
      <c r="P31" s="11">
        <f>ROUNDDOWN(E31*J31,0)</f>
        <v/>
      </c>
      <c r="Q31" s="11">
        <f>ROUNDDOWN(ROUND(M31+N31,2),0)</f>
        <v/>
      </c>
      <c r="R31" s="11">
        <f>INT(M31/2)+IF(MOD(M31,2)&gt;1,1,0)+INT(N31/2)+IF(MOD(N31,2)&gt;1,1,0)</f>
        <v/>
      </c>
      <c r="S31" s="11">
        <f>Q31-R31</f>
        <v/>
      </c>
      <c r="T31" s="11">
        <f>ROUNDDOWN(O31,0)</f>
        <v/>
      </c>
      <c r="U31" s="11">
        <f>INT(O31/2)+IF(MOD(O31,2)&gt;1,1,0)</f>
        <v/>
      </c>
      <c r="V31" s="11">
        <f>T31-U31</f>
        <v/>
      </c>
      <c r="W31" s="11">
        <f>P31</f>
        <v/>
      </c>
      <c r="X31" s="11">
        <f>W31</f>
        <v/>
      </c>
      <c r="Y31" s="11">
        <f>R31+U31</f>
        <v/>
      </c>
      <c r="Z31" s="11">
        <f>S31+V31+X31</f>
        <v/>
      </c>
      <c r="AA31" s="11">
        <f>Q31+T31+W31</f>
        <v/>
      </c>
      <c r="AB31" s="11">
        <f>F31-Y31</f>
        <v/>
      </c>
      <c r="AC31" s="9" t="n"/>
      <c r="AD31" s="12">
        <f>IF(AC31="","",AA31-AC31)</f>
        <v/>
      </c>
    </row>
    <row r="32">
      <c r="A32" s="2" t="n">
        <v>2018</v>
      </c>
      <c r="B32" s="2" t="n">
        <v>12</v>
      </c>
      <c r="C32" s="8">
        <f>IF(設定!$B$3="","",DATEDIF(設定!$B$3,EOMONTH(DATE(A32,B32,1),0),"Y"))</f>
        <v/>
      </c>
      <c r="D32" s="8">
        <f>IF(設定!$B$3="",FALSE,AND(EOMONTH(DATE(A32,B32,1),0)&gt;=DATE(YEAR(設定!$B$3)+40,MONTH(設定!$B$3),DAY(設定!$B$3))-1,EOMONTH(DATE(A32,B32,1),0)&lt;DATE(YEAR(設定!$B$3)+65,MONTH(設定!$B$3),DAY(設定!$B$3))-1))</f>
        <v/>
      </c>
      <c r="E32" s="9" t="n">
        <v>88000</v>
      </c>
      <c r="F32" s="9" t="n">
        <v>83000</v>
      </c>
      <c r="G32" s="10">
        <f>XLOOKUP(DATE(A32,B32,1),料率マスタ!$A:$A,料率マスタ!$B:$B,,-1,-1)</f>
        <v/>
      </c>
      <c r="H32" s="10">
        <f>XLOOKUP(DATE(A32,B32,1),料率マスタ!$A:$A,料率マスタ!$C:$C,,-1,-1)</f>
        <v/>
      </c>
      <c r="I32" s="10">
        <f>XLOOKUP(DATE(A32,B32,1),料率マスタ!$A:$A,料率マスタ!$D:$D,,-1,-1)</f>
        <v/>
      </c>
      <c r="J32" s="10">
        <f>XLOOKUP(DATE(A32,B32,1),料率マスタ!$A:$A,料率マスタ!$E:$E,,-1,-1)</f>
        <v/>
      </c>
      <c r="K32" s="10">
        <f>XLOOKUP(DATE(A32,B32,1),料率マスタ!$A:$A,料率マスタ!$F:$F,,-1,-1)</f>
        <v/>
      </c>
      <c r="L32" s="10">
        <f>G32+IF(D32,H32,0)</f>
        <v/>
      </c>
      <c r="M32" s="11">
        <f>E32*L32</f>
        <v/>
      </c>
      <c r="N32" s="11">
        <f>E32*K32</f>
        <v/>
      </c>
      <c r="O32" s="11">
        <f>E32*I32</f>
        <v/>
      </c>
      <c r="P32" s="11">
        <f>ROUNDDOWN(E32*J32,0)</f>
        <v/>
      </c>
      <c r="Q32" s="11">
        <f>ROUNDDOWN(ROUND(M32+N32,2),0)</f>
        <v/>
      </c>
      <c r="R32" s="11">
        <f>INT(M32/2)+IF(MOD(M32,2)&gt;1,1,0)+INT(N32/2)+IF(MOD(N32,2)&gt;1,1,0)</f>
        <v/>
      </c>
      <c r="S32" s="11">
        <f>Q32-R32</f>
        <v/>
      </c>
      <c r="T32" s="11">
        <f>ROUNDDOWN(O32,0)</f>
        <v/>
      </c>
      <c r="U32" s="11">
        <f>INT(O32/2)+IF(MOD(O32,2)&gt;1,1,0)</f>
        <v/>
      </c>
      <c r="V32" s="11">
        <f>T32-U32</f>
        <v/>
      </c>
      <c r="W32" s="11">
        <f>P32</f>
        <v/>
      </c>
      <c r="X32" s="11">
        <f>W32</f>
        <v/>
      </c>
      <c r="Y32" s="11">
        <f>R32+U32</f>
        <v/>
      </c>
      <c r="Z32" s="11">
        <f>S32+V32+X32</f>
        <v/>
      </c>
      <c r="AA32" s="11">
        <f>Q32+T32+W32</f>
        <v/>
      </c>
      <c r="AB32" s="11">
        <f>F32-Y32</f>
        <v/>
      </c>
      <c r="AC32" s="9" t="n"/>
      <c r="AD32" s="12">
        <f>IF(AC32="","",AA32-AC32)</f>
        <v/>
      </c>
    </row>
    <row r="33">
      <c r="A33" s="2" t="n">
        <v>2019</v>
      </c>
      <c r="B33" s="2" t="n">
        <v>1</v>
      </c>
      <c r="C33" s="8">
        <f>IF(設定!$B$3="","",DATEDIF(設定!$B$3,EOMONTH(DATE(A33,B33,1),0),"Y"))</f>
        <v/>
      </c>
      <c r="D33" s="8">
        <f>IF(設定!$B$3="",FALSE,AND(EOMONTH(DATE(A33,B33,1),0)&gt;=DATE(YEAR(設定!$B$3)+40,MONTH(設定!$B$3),DAY(設定!$B$3))-1,EOMONTH(DATE(A33,B33,1),0)&lt;DATE(YEAR(設定!$B$3)+65,MONTH(設定!$B$3),DAY(設定!$B$3))-1))</f>
        <v/>
      </c>
      <c r="E33" s="9" t="n">
        <v>88000</v>
      </c>
      <c r="F33" s="9" t="n">
        <v>83000</v>
      </c>
      <c r="G33" s="10">
        <f>XLOOKUP(DATE(A33,B33,1),料率マスタ!$A:$A,料率マスタ!$B:$B,,-1,-1)</f>
        <v/>
      </c>
      <c r="H33" s="10">
        <f>XLOOKUP(DATE(A33,B33,1),料率マスタ!$A:$A,料率マスタ!$C:$C,,-1,-1)</f>
        <v/>
      </c>
      <c r="I33" s="10">
        <f>XLOOKUP(DATE(A33,B33,1),料率マスタ!$A:$A,料率マスタ!$D:$D,,-1,-1)</f>
        <v/>
      </c>
      <c r="J33" s="10">
        <f>XLOOKUP(DATE(A33,B33,1),料率マスタ!$A:$A,料率マスタ!$E:$E,,-1,-1)</f>
        <v/>
      </c>
      <c r="K33" s="10">
        <f>XLOOKUP(DATE(A33,B33,1),料率マスタ!$A:$A,料率マスタ!$F:$F,,-1,-1)</f>
        <v/>
      </c>
      <c r="L33" s="10">
        <f>G33+IF(D33,H33,0)</f>
        <v/>
      </c>
      <c r="M33" s="11">
        <f>E33*L33</f>
        <v/>
      </c>
      <c r="N33" s="11">
        <f>E33*K33</f>
        <v/>
      </c>
      <c r="O33" s="11">
        <f>E33*I33</f>
        <v/>
      </c>
      <c r="P33" s="11">
        <f>ROUNDDOWN(E33*J33,0)</f>
        <v/>
      </c>
      <c r="Q33" s="11">
        <f>ROUNDDOWN(ROUND(M33+N33,2),0)</f>
        <v/>
      </c>
      <c r="R33" s="11">
        <f>INT(M33/2)+IF(MOD(M33,2)&gt;1,1,0)+INT(N33/2)+IF(MOD(N33,2)&gt;1,1,0)</f>
        <v/>
      </c>
      <c r="S33" s="11">
        <f>Q33-R33</f>
        <v/>
      </c>
      <c r="T33" s="11">
        <f>ROUNDDOWN(O33,0)</f>
        <v/>
      </c>
      <c r="U33" s="11">
        <f>INT(O33/2)+IF(MOD(O33,2)&gt;1,1,0)</f>
        <v/>
      </c>
      <c r="V33" s="11">
        <f>T33-U33</f>
        <v/>
      </c>
      <c r="W33" s="11">
        <f>P33</f>
        <v/>
      </c>
      <c r="X33" s="11">
        <f>W33</f>
        <v/>
      </c>
      <c r="Y33" s="11">
        <f>R33+U33</f>
        <v/>
      </c>
      <c r="Z33" s="11">
        <f>S33+V33+X33</f>
        <v/>
      </c>
      <c r="AA33" s="11">
        <f>Q33+T33+W33</f>
        <v/>
      </c>
      <c r="AB33" s="11">
        <f>F33-Y33</f>
        <v/>
      </c>
      <c r="AC33" s="9" t="n"/>
      <c r="AD33" s="12">
        <f>IF(AC33="","",AA33-AC33)</f>
        <v/>
      </c>
    </row>
    <row r="34">
      <c r="A34" s="2" t="n">
        <v>2019</v>
      </c>
      <c r="B34" s="2" t="n">
        <v>2</v>
      </c>
      <c r="C34" s="8">
        <f>IF(設定!$B$3="","",DATEDIF(設定!$B$3,EOMONTH(DATE(A34,B34,1),0),"Y"))</f>
        <v/>
      </c>
      <c r="D34" s="8">
        <f>IF(設定!$B$3="",FALSE,AND(EOMONTH(DATE(A34,B34,1),0)&gt;=DATE(YEAR(設定!$B$3)+40,MONTH(設定!$B$3),DAY(設定!$B$3))-1,EOMONTH(DATE(A34,B34,1),0)&lt;DATE(YEAR(設定!$B$3)+65,MONTH(設定!$B$3),DAY(設定!$B$3))-1))</f>
        <v/>
      </c>
      <c r="E34" s="9" t="n">
        <v>88000</v>
      </c>
      <c r="F34" s="9" t="n">
        <v>83000</v>
      </c>
      <c r="G34" s="10">
        <f>XLOOKUP(DATE(A34,B34,1),料率マスタ!$A:$A,料率マスタ!$B:$B,,-1,-1)</f>
        <v/>
      </c>
      <c r="H34" s="10">
        <f>XLOOKUP(DATE(A34,B34,1),料率マスタ!$A:$A,料率マスタ!$C:$C,,-1,-1)</f>
        <v/>
      </c>
      <c r="I34" s="10">
        <f>XLOOKUP(DATE(A34,B34,1),料率マスタ!$A:$A,料率マスタ!$D:$D,,-1,-1)</f>
        <v/>
      </c>
      <c r="J34" s="10">
        <f>XLOOKUP(DATE(A34,B34,1),料率マスタ!$A:$A,料率マスタ!$E:$E,,-1,-1)</f>
        <v/>
      </c>
      <c r="K34" s="10">
        <f>XLOOKUP(DATE(A34,B34,1),料率マスタ!$A:$A,料率マスタ!$F:$F,,-1,-1)</f>
        <v/>
      </c>
      <c r="L34" s="10">
        <f>G34+IF(D34,H34,0)</f>
        <v/>
      </c>
      <c r="M34" s="11">
        <f>E34*L34</f>
        <v/>
      </c>
      <c r="N34" s="11">
        <f>E34*K34</f>
        <v/>
      </c>
      <c r="O34" s="11">
        <f>E34*I34</f>
        <v/>
      </c>
      <c r="P34" s="11">
        <f>ROUNDDOWN(E34*J34,0)</f>
        <v/>
      </c>
      <c r="Q34" s="11">
        <f>ROUNDDOWN(ROUND(M34+N34,2),0)</f>
        <v/>
      </c>
      <c r="R34" s="11">
        <f>INT(M34/2)+IF(MOD(M34,2)&gt;1,1,0)+INT(N34/2)+IF(MOD(N34,2)&gt;1,1,0)</f>
        <v/>
      </c>
      <c r="S34" s="11">
        <f>Q34-R34</f>
        <v/>
      </c>
      <c r="T34" s="11">
        <f>ROUNDDOWN(O34,0)</f>
        <v/>
      </c>
      <c r="U34" s="11">
        <f>INT(O34/2)+IF(MOD(O34,2)&gt;1,1,0)</f>
        <v/>
      </c>
      <c r="V34" s="11">
        <f>T34-U34</f>
        <v/>
      </c>
      <c r="W34" s="11">
        <f>P34</f>
        <v/>
      </c>
      <c r="X34" s="11">
        <f>W34</f>
        <v/>
      </c>
      <c r="Y34" s="11">
        <f>R34+U34</f>
        <v/>
      </c>
      <c r="Z34" s="11">
        <f>S34+V34+X34</f>
        <v/>
      </c>
      <c r="AA34" s="11">
        <f>Q34+T34+W34</f>
        <v/>
      </c>
      <c r="AB34" s="11">
        <f>F34-Y34</f>
        <v/>
      </c>
      <c r="AC34" s="9" t="n"/>
      <c r="AD34" s="12">
        <f>IF(AC34="","",AA34-AC34)</f>
        <v/>
      </c>
    </row>
    <row r="35">
      <c r="A35" s="2" t="n">
        <v>2019</v>
      </c>
      <c r="B35" s="2" t="n">
        <v>3</v>
      </c>
      <c r="C35" s="8">
        <f>IF(設定!$B$3="","",DATEDIF(設定!$B$3,EOMONTH(DATE(A35,B35,1),0),"Y"))</f>
        <v/>
      </c>
      <c r="D35" s="8">
        <f>IF(設定!$B$3="",FALSE,AND(EOMONTH(DATE(A35,B35,1),0)&gt;=DATE(YEAR(設定!$B$3)+40,MONTH(設定!$B$3),DAY(設定!$B$3))-1,EOMONTH(DATE(A35,B35,1),0)&lt;DATE(YEAR(設定!$B$3)+65,MONTH(設定!$B$3),DAY(設定!$B$3))-1))</f>
        <v/>
      </c>
      <c r="E35" s="9" t="n">
        <v>88000</v>
      </c>
      <c r="F35" s="9" t="n">
        <v>83000</v>
      </c>
      <c r="G35" s="10">
        <f>XLOOKUP(DATE(A35,B35,1),料率マスタ!$A:$A,料率マスタ!$B:$B,,-1,-1)</f>
        <v/>
      </c>
      <c r="H35" s="10">
        <f>XLOOKUP(DATE(A35,B35,1),料率マスタ!$A:$A,料率マスタ!$C:$C,,-1,-1)</f>
        <v/>
      </c>
      <c r="I35" s="10">
        <f>XLOOKUP(DATE(A35,B35,1),料率マスタ!$A:$A,料率マスタ!$D:$D,,-1,-1)</f>
        <v/>
      </c>
      <c r="J35" s="10">
        <f>XLOOKUP(DATE(A35,B35,1),料率マスタ!$A:$A,料率マスタ!$E:$E,,-1,-1)</f>
        <v/>
      </c>
      <c r="K35" s="10">
        <f>XLOOKUP(DATE(A35,B35,1),料率マスタ!$A:$A,料率マスタ!$F:$F,,-1,-1)</f>
        <v/>
      </c>
      <c r="L35" s="10">
        <f>G35+IF(D35,H35,0)</f>
        <v/>
      </c>
      <c r="M35" s="11">
        <f>E35*L35</f>
        <v/>
      </c>
      <c r="N35" s="11">
        <f>E35*K35</f>
        <v/>
      </c>
      <c r="O35" s="11">
        <f>E35*I35</f>
        <v/>
      </c>
      <c r="P35" s="11">
        <f>ROUNDDOWN(E35*J35,0)</f>
        <v/>
      </c>
      <c r="Q35" s="11">
        <f>ROUNDDOWN(ROUND(M35+N35,2),0)</f>
        <v/>
      </c>
      <c r="R35" s="11">
        <f>INT(M35/2)+IF(MOD(M35,2)&gt;1,1,0)+INT(N35/2)+IF(MOD(N35,2)&gt;1,1,0)</f>
        <v/>
      </c>
      <c r="S35" s="11">
        <f>Q35-R35</f>
        <v/>
      </c>
      <c r="T35" s="11">
        <f>ROUNDDOWN(O35,0)</f>
        <v/>
      </c>
      <c r="U35" s="11">
        <f>INT(O35/2)+IF(MOD(O35,2)&gt;1,1,0)</f>
        <v/>
      </c>
      <c r="V35" s="11">
        <f>T35-U35</f>
        <v/>
      </c>
      <c r="W35" s="11">
        <f>P35</f>
        <v/>
      </c>
      <c r="X35" s="11">
        <f>W35</f>
        <v/>
      </c>
      <c r="Y35" s="11">
        <f>R35+U35</f>
        <v/>
      </c>
      <c r="Z35" s="11">
        <f>S35+V35+X35</f>
        <v/>
      </c>
      <c r="AA35" s="11">
        <f>Q35+T35+W35</f>
        <v/>
      </c>
      <c r="AB35" s="11">
        <f>F35-Y35</f>
        <v/>
      </c>
      <c r="AC35" s="9" t="n"/>
      <c r="AD35" s="12">
        <f>IF(AC35="","",AA35-AC35)</f>
        <v/>
      </c>
    </row>
    <row r="36">
      <c r="A36" s="2" t="n">
        <v>2019</v>
      </c>
      <c r="B36" s="2" t="n">
        <v>4</v>
      </c>
      <c r="C36" s="8">
        <f>IF(設定!$B$3="","",DATEDIF(設定!$B$3,EOMONTH(DATE(A36,B36,1),0),"Y"))</f>
        <v/>
      </c>
      <c r="D36" s="8">
        <f>IF(設定!$B$3="",FALSE,AND(EOMONTH(DATE(A36,B36,1),0)&gt;=DATE(YEAR(設定!$B$3)+40,MONTH(設定!$B$3),DAY(設定!$B$3))-1,EOMONTH(DATE(A36,B36,1),0)&lt;DATE(YEAR(設定!$B$3)+65,MONTH(設定!$B$3),DAY(設定!$B$3))-1))</f>
        <v/>
      </c>
      <c r="E36" s="9" t="n">
        <v>88000</v>
      </c>
      <c r="F36" s="9" t="n">
        <v>83000</v>
      </c>
      <c r="G36" s="10">
        <f>XLOOKUP(DATE(A36,B36,1),料率マスタ!$A:$A,料率マスタ!$B:$B,,-1,-1)</f>
        <v/>
      </c>
      <c r="H36" s="10">
        <f>XLOOKUP(DATE(A36,B36,1),料率マスタ!$A:$A,料率マスタ!$C:$C,,-1,-1)</f>
        <v/>
      </c>
      <c r="I36" s="10">
        <f>XLOOKUP(DATE(A36,B36,1),料率マスタ!$A:$A,料率マスタ!$D:$D,,-1,-1)</f>
        <v/>
      </c>
      <c r="J36" s="10">
        <f>XLOOKUP(DATE(A36,B36,1),料率マスタ!$A:$A,料率マスタ!$E:$E,,-1,-1)</f>
        <v/>
      </c>
      <c r="K36" s="10">
        <f>XLOOKUP(DATE(A36,B36,1),料率マスタ!$A:$A,料率マスタ!$F:$F,,-1,-1)</f>
        <v/>
      </c>
      <c r="L36" s="10">
        <f>G36+IF(D36,H36,0)</f>
        <v/>
      </c>
      <c r="M36" s="11">
        <f>E36*L36</f>
        <v/>
      </c>
      <c r="N36" s="11">
        <f>E36*K36</f>
        <v/>
      </c>
      <c r="O36" s="11">
        <f>E36*I36</f>
        <v/>
      </c>
      <c r="P36" s="11">
        <f>ROUNDDOWN(E36*J36,0)</f>
        <v/>
      </c>
      <c r="Q36" s="11">
        <f>ROUNDDOWN(ROUND(M36+N36,2),0)</f>
        <v/>
      </c>
      <c r="R36" s="11">
        <f>INT(M36/2)+IF(MOD(M36,2)&gt;1,1,0)+INT(N36/2)+IF(MOD(N36,2)&gt;1,1,0)</f>
        <v/>
      </c>
      <c r="S36" s="11">
        <f>Q36-R36</f>
        <v/>
      </c>
      <c r="T36" s="11">
        <f>ROUNDDOWN(O36,0)</f>
        <v/>
      </c>
      <c r="U36" s="11">
        <f>INT(O36/2)+IF(MOD(O36,2)&gt;1,1,0)</f>
        <v/>
      </c>
      <c r="V36" s="11">
        <f>T36-U36</f>
        <v/>
      </c>
      <c r="W36" s="11">
        <f>P36</f>
        <v/>
      </c>
      <c r="X36" s="11">
        <f>W36</f>
        <v/>
      </c>
      <c r="Y36" s="11">
        <f>R36+U36</f>
        <v/>
      </c>
      <c r="Z36" s="11">
        <f>S36+V36+X36</f>
        <v/>
      </c>
      <c r="AA36" s="11">
        <f>Q36+T36+W36</f>
        <v/>
      </c>
      <c r="AB36" s="11">
        <f>F36-Y36</f>
        <v/>
      </c>
      <c r="AC36" s="9" t="n"/>
      <c r="AD36" s="12">
        <f>IF(AC36="","",AA36-AC36)</f>
        <v/>
      </c>
    </row>
    <row r="37">
      <c r="A37" s="2" t="n">
        <v>2019</v>
      </c>
      <c r="B37" s="2" t="n">
        <v>5</v>
      </c>
      <c r="C37" s="8">
        <f>IF(設定!$B$3="","",DATEDIF(設定!$B$3,EOMONTH(DATE(A37,B37,1),0),"Y"))</f>
        <v/>
      </c>
      <c r="D37" s="8">
        <f>IF(設定!$B$3="",FALSE,AND(EOMONTH(DATE(A37,B37,1),0)&gt;=DATE(YEAR(設定!$B$3)+40,MONTH(設定!$B$3),DAY(設定!$B$3))-1,EOMONTH(DATE(A37,B37,1),0)&lt;DATE(YEAR(設定!$B$3)+65,MONTH(設定!$B$3),DAY(設定!$B$3))-1))</f>
        <v/>
      </c>
      <c r="E37" s="9" t="n">
        <v>88000</v>
      </c>
      <c r="F37" s="9" t="n">
        <v>83000</v>
      </c>
      <c r="G37" s="10">
        <f>XLOOKUP(DATE(A37,B37,1),料率マスタ!$A:$A,料率マスタ!$B:$B,,-1,-1)</f>
        <v/>
      </c>
      <c r="H37" s="10">
        <f>XLOOKUP(DATE(A37,B37,1),料率マスタ!$A:$A,料率マスタ!$C:$C,,-1,-1)</f>
        <v/>
      </c>
      <c r="I37" s="10">
        <f>XLOOKUP(DATE(A37,B37,1),料率マスタ!$A:$A,料率マスタ!$D:$D,,-1,-1)</f>
        <v/>
      </c>
      <c r="J37" s="10">
        <f>XLOOKUP(DATE(A37,B37,1),料率マスタ!$A:$A,料率マスタ!$E:$E,,-1,-1)</f>
        <v/>
      </c>
      <c r="K37" s="10">
        <f>XLOOKUP(DATE(A37,B37,1),料率マスタ!$A:$A,料率マスタ!$F:$F,,-1,-1)</f>
        <v/>
      </c>
      <c r="L37" s="10">
        <f>G37+IF(D37,H37,0)</f>
        <v/>
      </c>
      <c r="M37" s="11">
        <f>E37*L37</f>
        <v/>
      </c>
      <c r="N37" s="11">
        <f>E37*K37</f>
        <v/>
      </c>
      <c r="O37" s="11">
        <f>E37*I37</f>
        <v/>
      </c>
      <c r="P37" s="11">
        <f>ROUNDDOWN(E37*J37,0)</f>
        <v/>
      </c>
      <c r="Q37" s="11">
        <f>ROUNDDOWN(ROUND(M37+N37,2),0)</f>
        <v/>
      </c>
      <c r="R37" s="11">
        <f>INT(M37/2)+IF(MOD(M37,2)&gt;1,1,0)+INT(N37/2)+IF(MOD(N37,2)&gt;1,1,0)</f>
        <v/>
      </c>
      <c r="S37" s="11">
        <f>Q37-R37</f>
        <v/>
      </c>
      <c r="T37" s="11">
        <f>ROUNDDOWN(O37,0)</f>
        <v/>
      </c>
      <c r="U37" s="11">
        <f>INT(O37/2)+IF(MOD(O37,2)&gt;1,1,0)</f>
        <v/>
      </c>
      <c r="V37" s="11">
        <f>T37-U37</f>
        <v/>
      </c>
      <c r="W37" s="11">
        <f>P37</f>
        <v/>
      </c>
      <c r="X37" s="11">
        <f>W37</f>
        <v/>
      </c>
      <c r="Y37" s="11">
        <f>R37+U37</f>
        <v/>
      </c>
      <c r="Z37" s="11">
        <f>S37+V37+X37</f>
        <v/>
      </c>
      <c r="AA37" s="11">
        <f>Q37+T37+W37</f>
        <v/>
      </c>
      <c r="AB37" s="11">
        <f>F37-Y37</f>
        <v/>
      </c>
      <c r="AC37" s="9" t="n"/>
      <c r="AD37" s="12">
        <f>IF(AC37="","",AA37-AC37)</f>
        <v/>
      </c>
    </row>
    <row r="38">
      <c r="A38" s="2" t="n">
        <v>2019</v>
      </c>
      <c r="B38" s="2" t="n">
        <v>6</v>
      </c>
      <c r="C38" s="8">
        <f>IF(設定!$B$3="","",DATEDIF(設定!$B$3,EOMONTH(DATE(A38,B38,1),0),"Y"))</f>
        <v/>
      </c>
      <c r="D38" s="8">
        <f>IF(設定!$B$3="",FALSE,AND(EOMONTH(DATE(A38,B38,1),0)&gt;=DATE(YEAR(設定!$B$3)+40,MONTH(設定!$B$3),DAY(設定!$B$3))-1,EOMONTH(DATE(A38,B38,1),0)&lt;DATE(YEAR(設定!$B$3)+65,MONTH(設定!$B$3),DAY(設定!$B$3))-1))</f>
        <v/>
      </c>
      <c r="E38" s="9" t="n">
        <v>88000</v>
      </c>
      <c r="F38" s="9" t="n">
        <v>83000</v>
      </c>
      <c r="G38" s="10">
        <f>XLOOKUP(DATE(A38,B38,1),料率マスタ!$A:$A,料率マスタ!$B:$B,,-1,-1)</f>
        <v/>
      </c>
      <c r="H38" s="10">
        <f>XLOOKUP(DATE(A38,B38,1),料率マスタ!$A:$A,料率マスタ!$C:$C,,-1,-1)</f>
        <v/>
      </c>
      <c r="I38" s="10">
        <f>XLOOKUP(DATE(A38,B38,1),料率マスタ!$A:$A,料率マスタ!$D:$D,,-1,-1)</f>
        <v/>
      </c>
      <c r="J38" s="10">
        <f>XLOOKUP(DATE(A38,B38,1),料率マスタ!$A:$A,料率マスタ!$E:$E,,-1,-1)</f>
        <v/>
      </c>
      <c r="K38" s="10">
        <f>XLOOKUP(DATE(A38,B38,1),料率マスタ!$A:$A,料率マスタ!$F:$F,,-1,-1)</f>
        <v/>
      </c>
      <c r="L38" s="10">
        <f>G38+IF(D38,H38,0)</f>
        <v/>
      </c>
      <c r="M38" s="11">
        <f>E38*L38</f>
        <v/>
      </c>
      <c r="N38" s="11">
        <f>E38*K38</f>
        <v/>
      </c>
      <c r="O38" s="11">
        <f>E38*I38</f>
        <v/>
      </c>
      <c r="P38" s="11">
        <f>ROUNDDOWN(E38*J38,0)</f>
        <v/>
      </c>
      <c r="Q38" s="11">
        <f>ROUNDDOWN(ROUND(M38+N38,2),0)</f>
        <v/>
      </c>
      <c r="R38" s="11">
        <f>INT(M38/2)+IF(MOD(M38,2)&gt;1,1,0)+INT(N38/2)+IF(MOD(N38,2)&gt;1,1,0)</f>
        <v/>
      </c>
      <c r="S38" s="11">
        <f>Q38-R38</f>
        <v/>
      </c>
      <c r="T38" s="11">
        <f>ROUNDDOWN(O38,0)</f>
        <v/>
      </c>
      <c r="U38" s="11">
        <f>INT(O38/2)+IF(MOD(O38,2)&gt;1,1,0)</f>
        <v/>
      </c>
      <c r="V38" s="11">
        <f>T38-U38</f>
        <v/>
      </c>
      <c r="W38" s="11">
        <f>P38</f>
        <v/>
      </c>
      <c r="X38" s="11">
        <f>W38</f>
        <v/>
      </c>
      <c r="Y38" s="11">
        <f>R38+U38</f>
        <v/>
      </c>
      <c r="Z38" s="11">
        <f>S38+V38+X38</f>
        <v/>
      </c>
      <c r="AA38" s="11">
        <f>Q38+T38+W38</f>
        <v/>
      </c>
      <c r="AB38" s="11">
        <f>F38-Y38</f>
        <v/>
      </c>
      <c r="AC38" s="9" t="n"/>
      <c r="AD38" s="12">
        <f>IF(AC38="","",AA38-AC38)</f>
        <v/>
      </c>
    </row>
    <row r="39">
      <c r="A39" s="2" t="n">
        <v>2019</v>
      </c>
      <c r="B39" s="2" t="n">
        <v>7</v>
      </c>
      <c r="C39" s="8">
        <f>IF(設定!$B$3="","",DATEDIF(設定!$B$3,EOMONTH(DATE(A39,B39,1),0),"Y"))</f>
        <v/>
      </c>
      <c r="D39" s="8">
        <f>IF(設定!$B$3="",FALSE,AND(EOMONTH(DATE(A39,B39,1),0)&gt;=DATE(YEAR(設定!$B$3)+40,MONTH(設定!$B$3),DAY(設定!$B$3))-1,EOMONTH(DATE(A39,B39,1),0)&lt;DATE(YEAR(設定!$B$3)+65,MONTH(設定!$B$3),DAY(設定!$B$3))-1))</f>
        <v/>
      </c>
      <c r="E39" s="9" t="n">
        <v>88000</v>
      </c>
      <c r="F39" s="9" t="n">
        <v>83000</v>
      </c>
      <c r="G39" s="10">
        <f>XLOOKUP(DATE(A39,B39,1),料率マスタ!$A:$A,料率マスタ!$B:$B,,-1,-1)</f>
        <v/>
      </c>
      <c r="H39" s="10">
        <f>XLOOKUP(DATE(A39,B39,1),料率マスタ!$A:$A,料率マスタ!$C:$C,,-1,-1)</f>
        <v/>
      </c>
      <c r="I39" s="10">
        <f>XLOOKUP(DATE(A39,B39,1),料率マスタ!$A:$A,料率マスタ!$D:$D,,-1,-1)</f>
        <v/>
      </c>
      <c r="J39" s="10">
        <f>XLOOKUP(DATE(A39,B39,1),料率マスタ!$A:$A,料率マスタ!$E:$E,,-1,-1)</f>
        <v/>
      </c>
      <c r="K39" s="10">
        <f>XLOOKUP(DATE(A39,B39,1),料率マスタ!$A:$A,料率マスタ!$F:$F,,-1,-1)</f>
        <v/>
      </c>
      <c r="L39" s="10">
        <f>G39+IF(D39,H39,0)</f>
        <v/>
      </c>
      <c r="M39" s="11">
        <f>E39*L39</f>
        <v/>
      </c>
      <c r="N39" s="11">
        <f>E39*K39</f>
        <v/>
      </c>
      <c r="O39" s="11">
        <f>E39*I39</f>
        <v/>
      </c>
      <c r="P39" s="11">
        <f>ROUNDDOWN(E39*J39,0)</f>
        <v/>
      </c>
      <c r="Q39" s="11">
        <f>ROUNDDOWN(ROUND(M39+N39,2),0)</f>
        <v/>
      </c>
      <c r="R39" s="11">
        <f>INT(M39/2)+IF(MOD(M39,2)&gt;1,1,0)+INT(N39/2)+IF(MOD(N39,2)&gt;1,1,0)</f>
        <v/>
      </c>
      <c r="S39" s="11">
        <f>Q39-R39</f>
        <v/>
      </c>
      <c r="T39" s="11">
        <f>ROUNDDOWN(O39,0)</f>
        <v/>
      </c>
      <c r="U39" s="11">
        <f>INT(O39/2)+IF(MOD(O39,2)&gt;1,1,0)</f>
        <v/>
      </c>
      <c r="V39" s="11">
        <f>T39-U39</f>
        <v/>
      </c>
      <c r="W39" s="11">
        <f>P39</f>
        <v/>
      </c>
      <c r="X39" s="11">
        <f>W39</f>
        <v/>
      </c>
      <c r="Y39" s="11">
        <f>R39+U39</f>
        <v/>
      </c>
      <c r="Z39" s="11">
        <f>S39+V39+X39</f>
        <v/>
      </c>
      <c r="AA39" s="11">
        <f>Q39+T39+W39</f>
        <v/>
      </c>
      <c r="AB39" s="11">
        <f>F39-Y39</f>
        <v/>
      </c>
      <c r="AC39" s="9" t="n"/>
      <c r="AD39" s="12">
        <f>IF(AC39="","",AA39-AC39)</f>
        <v/>
      </c>
    </row>
    <row r="40">
      <c r="A40" s="2" t="n">
        <v>2019</v>
      </c>
      <c r="B40" s="2" t="n">
        <v>8</v>
      </c>
      <c r="C40" s="8">
        <f>IF(設定!$B$3="","",DATEDIF(設定!$B$3,EOMONTH(DATE(A40,B40,1),0),"Y"))</f>
        <v/>
      </c>
      <c r="D40" s="8">
        <f>IF(設定!$B$3="",FALSE,AND(EOMONTH(DATE(A40,B40,1),0)&gt;=DATE(YEAR(設定!$B$3)+40,MONTH(設定!$B$3),DAY(設定!$B$3))-1,EOMONTH(DATE(A40,B40,1),0)&lt;DATE(YEAR(設定!$B$3)+65,MONTH(設定!$B$3),DAY(設定!$B$3))-1))</f>
        <v/>
      </c>
      <c r="E40" s="9" t="n">
        <v>88000</v>
      </c>
      <c r="F40" s="9" t="n">
        <v>83000</v>
      </c>
      <c r="G40" s="10">
        <f>XLOOKUP(DATE(A40,B40,1),料率マスタ!$A:$A,料率マスタ!$B:$B,,-1,-1)</f>
        <v/>
      </c>
      <c r="H40" s="10">
        <f>XLOOKUP(DATE(A40,B40,1),料率マスタ!$A:$A,料率マスタ!$C:$C,,-1,-1)</f>
        <v/>
      </c>
      <c r="I40" s="10">
        <f>XLOOKUP(DATE(A40,B40,1),料率マスタ!$A:$A,料率マスタ!$D:$D,,-1,-1)</f>
        <v/>
      </c>
      <c r="J40" s="10">
        <f>XLOOKUP(DATE(A40,B40,1),料率マスタ!$A:$A,料率マスタ!$E:$E,,-1,-1)</f>
        <v/>
      </c>
      <c r="K40" s="10">
        <f>XLOOKUP(DATE(A40,B40,1),料率マスタ!$A:$A,料率マスタ!$F:$F,,-1,-1)</f>
        <v/>
      </c>
      <c r="L40" s="10">
        <f>G40+IF(D40,H40,0)</f>
        <v/>
      </c>
      <c r="M40" s="11">
        <f>E40*L40</f>
        <v/>
      </c>
      <c r="N40" s="11">
        <f>E40*K40</f>
        <v/>
      </c>
      <c r="O40" s="11">
        <f>E40*I40</f>
        <v/>
      </c>
      <c r="P40" s="11">
        <f>ROUNDDOWN(E40*J40,0)</f>
        <v/>
      </c>
      <c r="Q40" s="11">
        <f>ROUNDDOWN(ROUND(M40+N40,2),0)</f>
        <v/>
      </c>
      <c r="R40" s="11">
        <f>INT(M40/2)+IF(MOD(M40,2)&gt;1,1,0)+INT(N40/2)+IF(MOD(N40,2)&gt;1,1,0)</f>
        <v/>
      </c>
      <c r="S40" s="11">
        <f>Q40-R40</f>
        <v/>
      </c>
      <c r="T40" s="11">
        <f>ROUNDDOWN(O40,0)</f>
        <v/>
      </c>
      <c r="U40" s="11">
        <f>INT(O40/2)+IF(MOD(O40,2)&gt;1,1,0)</f>
        <v/>
      </c>
      <c r="V40" s="11">
        <f>T40-U40</f>
        <v/>
      </c>
      <c r="W40" s="11">
        <f>P40</f>
        <v/>
      </c>
      <c r="X40" s="11">
        <f>W40</f>
        <v/>
      </c>
      <c r="Y40" s="11">
        <f>R40+U40</f>
        <v/>
      </c>
      <c r="Z40" s="11">
        <f>S40+V40+X40</f>
        <v/>
      </c>
      <c r="AA40" s="11">
        <f>Q40+T40+W40</f>
        <v/>
      </c>
      <c r="AB40" s="11">
        <f>F40-Y40</f>
        <v/>
      </c>
      <c r="AC40" s="9" t="n"/>
      <c r="AD40" s="12">
        <f>IF(AC40="","",AA40-AC40)</f>
        <v/>
      </c>
    </row>
    <row r="41">
      <c r="A41" s="2" t="n">
        <v>2019</v>
      </c>
      <c r="B41" s="2" t="n">
        <v>9</v>
      </c>
      <c r="C41" s="8">
        <f>IF(設定!$B$3="","",DATEDIF(設定!$B$3,EOMONTH(DATE(A41,B41,1),0),"Y"))</f>
        <v/>
      </c>
      <c r="D41" s="8">
        <f>IF(設定!$B$3="",FALSE,AND(EOMONTH(DATE(A41,B41,1),0)&gt;=DATE(YEAR(設定!$B$3)+40,MONTH(設定!$B$3),DAY(設定!$B$3))-1,EOMONTH(DATE(A41,B41,1),0)&lt;DATE(YEAR(設定!$B$3)+65,MONTH(設定!$B$3),DAY(設定!$B$3))-1))</f>
        <v/>
      </c>
      <c r="E41" s="9" t="n">
        <v>88000</v>
      </c>
      <c r="F41" s="9" t="n">
        <v>83000</v>
      </c>
      <c r="G41" s="10">
        <f>XLOOKUP(DATE(A41,B41,1),料率マスタ!$A:$A,料率マスタ!$B:$B,,-1,-1)</f>
        <v/>
      </c>
      <c r="H41" s="10">
        <f>XLOOKUP(DATE(A41,B41,1),料率マスタ!$A:$A,料率マスタ!$C:$C,,-1,-1)</f>
        <v/>
      </c>
      <c r="I41" s="10">
        <f>XLOOKUP(DATE(A41,B41,1),料率マスタ!$A:$A,料率マスタ!$D:$D,,-1,-1)</f>
        <v/>
      </c>
      <c r="J41" s="10">
        <f>XLOOKUP(DATE(A41,B41,1),料率マスタ!$A:$A,料率マスタ!$E:$E,,-1,-1)</f>
        <v/>
      </c>
      <c r="K41" s="10">
        <f>XLOOKUP(DATE(A41,B41,1),料率マスタ!$A:$A,料率マスタ!$F:$F,,-1,-1)</f>
        <v/>
      </c>
      <c r="L41" s="10">
        <f>G41+IF(D41,H41,0)</f>
        <v/>
      </c>
      <c r="M41" s="11">
        <f>E41*L41</f>
        <v/>
      </c>
      <c r="N41" s="11">
        <f>E41*K41</f>
        <v/>
      </c>
      <c r="O41" s="11">
        <f>E41*I41</f>
        <v/>
      </c>
      <c r="P41" s="11">
        <f>ROUNDDOWN(E41*J41,0)</f>
        <v/>
      </c>
      <c r="Q41" s="11">
        <f>ROUNDDOWN(ROUND(M41+N41,2),0)</f>
        <v/>
      </c>
      <c r="R41" s="11">
        <f>INT(M41/2)+IF(MOD(M41,2)&gt;1,1,0)+INT(N41/2)+IF(MOD(N41,2)&gt;1,1,0)</f>
        <v/>
      </c>
      <c r="S41" s="11">
        <f>Q41-R41</f>
        <v/>
      </c>
      <c r="T41" s="11">
        <f>ROUNDDOWN(O41,0)</f>
        <v/>
      </c>
      <c r="U41" s="11">
        <f>INT(O41/2)+IF(MOD(O41,2)&gt;1,1,0)</f>
        <v/>
      </c>
      <c r="V41" s="11">
        <f>T41-U41</f>
        <v/>
      </c>
      <c r="W41" s="11">
        <f>P41</f>
        <v/>
      </c>
      <c r="X41" s="11">
        <f>W41</f>
        <v/>
      </c>
      <c r="Y41" s="11">
        <f>R41+U41</f>
        <v/>
      </c>
      <c r="Z41" s="11">
        <f>S41+V41+X41</f>
        <v/>
      </c>
      <c r="AA41" s="11">
        <f>Q41+T41+W41</f>
        <v/>
      </c>
      <c r="AB41" s="11">
        <f>F41-Y41</f>
        <v/>
      </c>
      <c r="AC41" s="9" t="n"/>
      <c r="AD41" s="12">
        <f>IF(AC41="","",AA41-AC41)</f>
        <v/>
      </c>
    </row>
    <row r="42">
      <c r="A42" s="2" t="n">
        <v>2019</v>
      </c>
      <c r="B42" s="2" t="n">
        <v>10</v>
      </c>
      <c r="C42" s="8">
        <f>IF(設定!$B$3="","",DATEDIF(設定!$B$3,EOMONTH(DATE(A42,B42,1),0),"Y"))</f>
        <v/>
      </c>
      <c r="D42" s="8">
        <f>IF(設定!$B$3="",FALSE,AND(EOMONTH(DATE(A42,B42,1),0)&gt;=DATE(YEAR(設定!$B$3)+40,MONTH(設定!$B$3),DAY(設定!$B$3))-1,EOMONTH(DATE(A42,B42,1),0)&lt;DATE(YEAR(設定!$B$3)+65,MONTH(設定!$B$3),DAY(設定!$B$3))-1))</f>
        <v/>
      </c>
      <c r="E42" s="9" t="n">
        <v>88000</v>
      </c>
      <c r="F42" s="9" t="n">
        <v>83000</v>
      </c>
      <c r="G42" s="10">
        <f>XLOOKUP(DATE(A42,B42,1),料率マスタ!$A:$A,料率マスタ!$B:$B,,-1,-1)</f>
        <v/>
      </c>
      <c r="H42" s="10">
        <f>XLOOKUP(DATE(A42,B42,1),料率マスタ!$A:$A,料率マスタ!$C:$C,,-1,-1)</f>
        <v/>
      </c>
      <c r="I42" s="10">
        <f>XLOOKUP(DATE(A42,B42,1),料率マスタ!$A:$A,料率マスタ!$D:$D,,-1,-1)</f>
        <v/>
      </c>
      <c r="J42" s="10">
        <f>XLOOKUP(DATE(A42,B42,1),料率マスタ!$A:$A,料率マスタ!$E:$E,,-1,-1)</f>
        <v/>
      </c>
      <c r="K42" s="10">
        <f>XLOOKUP(DATE(A42,B42,1),料率マスタ!$A:$A,料率マスタ!$F:$F,,-1,-1)</f>
        <v/>
      </c>
      <c r="L42" s="10">
        <f>G42+IF(D42,H42,0)</f>
        <v/>
      </c>
      <c r="M42" s="11">
        <f>E42*L42</f>
        <v/>
      </c>
      <c r="N42" s="11">
        <f>E42*K42</f>
        <v/>
      </c>
      <c r="O42" s="11">
        <f>E42*I42</f>
        <v/>
      </c>
      <c r="P42" s="11">
        <f>ROUNDDOWN(E42*J42,0)</f>
        <v/>
      </c>
      <c r="Q42" s="11">
        <f>ROUNDDOWN(ROUND(M42+N42,2),0)</f>
        <v/>
      </c>
      <c r="R42" s="11">
        <f>INT(M42/2)+IF(MOD(M42,2)&gt;1,1,0)+INT(N42/2)+IF(MOD(N42,2)&gt;1,1,0)</f>
        <v/>
      </c>
      <c r="S42" s="11">
        <f>Q42-R42</f>
        <v/>
      </c>
      <c r="T42" s="11">
        <f>ROUNDDOWN(O42,0)</f>
        <v/>
      </c>
      <c r="U42" s="11">
        <f>INT(O42/2)+IF(MOD(O42,2)&gt;1,1,0)</f>
        <v/>
      </c>
      <c r="V42" s="11">
        <f>T42-U42</f>
        <v/>
      </c>
      <c r="W42" s="11">
        <f>P42</f>
        <v/>
      </c>
      <c r="X42" s="11">
        <f>W42</f>
        <v/>
      </c>
      <c r="Y42" s="11">
        <f>R42+U42</f>
        <v/>
      </c>
      <c r="Z42" s="11">
        <f>S42+V42+X42</f>
        <v/>
      </c>
      <c r="AA42" s="11">
        <f>Q42+T42+W42</f>
        <v/>
      </c>
      <c r="AB42" s="11">
        <f>F42-Y42</f>
        <v/>
      </c>
      <c r="AC42" s="9" t="n"/>
      <c r="AD42" s="12">
        <f>IF(AC42="","",AA42-AC42)</f>
        <v/>
      </c>
    </row>
    <row r="43">
      <c r="A43" s="2" t="n">
        <v>2019</v>
      </c>
      <c r="B43" s="2" t="n">
        <v>11</v>
      </c>
      <c r="C43" s="8">
        <f>IF(設定!$B$3="","",DATEDIF(設定!$B$3,EOMONTH(DATE(A43,B43,1),0),"Y"))</f>
        <v/>
      </c>
      <c r="D43" s="8">
        <f>IF(設定!$B$3="",FALSE,AND(EOMONTH(DATE(A43,B43,1),0)&gt;=DATE(YEAR(設定!$B$3)+40,MONTH(設定!$B$3),DAY(設定!$B$3))-1,EOMONTH(DATE(A43,B43,1),0)&lt;DATE(YEAR(設定!$B$3)+65,MONTH(設定!$B$3),DAY(設定!$B$3))-1))</f>
        <v/>
      </c>
      <c r="E43" s="9" t="n">
        <v>88000</v>
      </c>
      <c r="F43" s="9" t="n">
        <v>83000</v>
      </c>
      <c r="G43" s="10">
        <f>XLOOKUP(DATE(A43,B43,1),料率マスタ!$A:$A,料率マスタ!$B:$B,,-1,-1)</f>
        <v/>
      </c>
      <c r="H43" s="10">
        <f>XLOOKUP(DATE(A43,B43,1),料率マスタ!$A:$A,料率マスタ!$C:$C,,-1,-1)</f>
        <v/>
      </c>
      <c r="I43" s="10">
        <f>XLOOKUP(DATE(A43,B43,1),料率マスタ!$A:$A,料率マスタ!$D:$D,,-1,-1)</f>
        <v/>
      </c>
      <c r="J43" s="10">
        <f>XLOOKUP(DATE(A43,B43,1),料率マスタ!$A:$A,料率マスタ!$E:$E,,-1,-1)</f>
        <v/>
      </c>
      <c r="K43" s="10">
        <f>XLOOKUP(DATE(A43,B43,1),料率マスタ!$A:$A,料率マスタ!$F:$F,,-1,-1)</f>
        <v/>
      </c>
      <c r="L43" s="10">
        <f>G43+IF(D43,H43,0)</f>
        <v/>
      </c>
      <c r="M43" s="11">
        <f>E43*L43</f>
        <v/>
      </c>
      <c r="N43" s="11">
        <f>E43*K43</f>
        <v/>
      </c>
      <c r="O43" s="11">
        <f>E43*I43</f>
        <v/>
      </c>
      <c r="P43" s="11">
        <f>ROUNDDOWN(E43*J43,0)</f>
        <v/>
      </c>
      <c r="Q43" s="11">
        <f>ROUNDDOWN(ROUND(M43+N43,2),0)</f>
        <v/>
      </c>
      <c r="R43" s="11">
        <f>INT(M43/2)+IF(MOD(M43,2)&gt;1,1,0)+INT(N43/2)+IF(MOD(N43,2)&gt;1,1,0)</f>
        <v/>
      </c>
      <c r="S43" s="11">
        <f>Q43-R43</f>
        <v/>
      </c>
      <c r="T43" s="11">
        <f>ROUNDDOWN(O43,0)</f>
        <v/>
      </c>
      <c r="U43" s="11">
        <f>INT(O43/2)+IF(MOD(O43,2)&gt;1,1,0)</f>
        <v/>
      </c>
      <c r="V43" s="11">
        <f>T43-U43</f>
        <v/>
      </c>
      <c r="W43" s="11">
        <f>P43</f>
        <v/>
      </c>
      <c r="X43" s="11">
        <f>W43</f>
        <v/>
      </c>
      <c r="Y43" s="11">
        <f>R43+U43</f>
        <v/>
      </c>
      <c r="Z43" s="11">
        <f>S43+V43+X43</f>
        <v/>
      </c>
      <c r="AA43" s="11">
        <f>Q43+T43+W43</f>
        <v/>
      </c>
      <c r="AB43" s="11">
        <f>F43-Y43</f>
        <v/>
      </c>
      <c r="AC43" s="9" t="n"/>
      <c r="AD43" s="12">
        <f>IF(AC43="","",AA43-AC43)</f>
        <v/>
      </c>
    </row>
    <row r="44">
      <c r="A44" s="2" t="n">
        <v>2019</v>
      </c>
      <c r="B44" s="2" t="n">
        <v>12</v>
      </c>
      <c r="C44" s="8">
        <f>IF(設定!$B$3="","",DATEDIF(設定!$B$3,EOMONTH(DATE(A44,B44,1),0),"Y"))</f>
        <v/>
      </c>
      <c r="D44" s="8">
        <f>IF(設定!$B$3="",FALSE,AND(EOMONTH(DATE(A44,B44,1),0)&gt;=DATE(YEAR(設定!$B$3)+40,MONTH(設定!$B$3),DAY(設定!$B$3))-1,EOMONTH(DATE(A44,B44,1),0)&lt;DATE(YEAR(設定!$B$3)+65,MONTH(設定!$B$3),DAY(設定!$B$3))-1))</f>
        <v/>
      </c>
      <c r="E44" s="9" t="n">
        <v>88000</v>
      </c>
      <c r="F44" s="9" t="n">
        <v>83000</v>
      </c>
      <c r="G44" s="10">
        <f>XLOOKUP(DATE(A44,B44,1),料率マスタ!$A:$A,料率マスタ!$B:$B,,-1,-1)</f>
        <v/>
      </c>
      <c r="H44" s="10">
        <f>XLOOKUP(DATE(A44,B44,1),料率マスタ!$A:$A,料率マスタ!$C:$C,,-1,-1)</f>
        <v/>
      </c>
      <c r="I44" s="10">
        <f>XLOOKUP(DATE(A44,B44,1),料率マスタ!$A:$A,料率マスタ!$D:$D,,-1,-1)</f>
        <v/>
      </c>
      <c r="J44" s="10">
        <f>XLOOKUP(DATE(A44,B44,1),料率マスタ!$A:$A,料率マスタ!$E:$E,,-1,-1)</f>
        <v/>
      </c>
      <c r="K44" s="10">
        <f>XLOOKUP(DATE(A44,B44,1),料率マスタ!$A:$A,料率マスタ!$F:$F,,-1,-1)</f>
        <v/>
      </c>
      <c r="L44" s="10">
        <f>G44+IF(D44,H44,0)</f>
        <v/>
      </c>
      <c r="M44" s="11">
        <f>E44*L44</f>
        <v/>
      </c>
      <c r="N44" s="11">
        <f>E44*K44</f>
        <v/>
      </c>
      <c r="O44" s="11">
        <f>E44*I44</f>
        <v/>
      </c>
      <c r="P44" s="11">
        <f>ROUNDDOWN(E44*J44,0)</f>
        <v/>
      </c>
      <c r="Q44" s="11">
        <f>ROUNDDOWN(ROUND(M44+N44,2),0)</f>
        <v/>
      </c>
      <c r="R44" s="11">
        <f>INT(M44/2)+IF(MOD(M44,2)&gt;1,1,0)+INT(N44/2)+IF(MOD(N44,2)&gt;1,1,0)</f>
        <v/>
      </c>
      <c r="S44" s="11">
        <f>Q44-R44</f>
        <v/>
      </c>
      <c r="T44" s="11">
        <f>ROUNDDOWN(O44,0)</f>
        <v/>
      </c>
      <c r="U44" s="11">
        <f>INT(O44/2)+IF(MOD(O44,2)&gt;1,1,0)</f>
        <v/>
      </c>
      <c r="V44" s="11">
        <f>T44-U44</f>
        <v/>
      </c>
      <c r="W44" s="11">
        <f>P44</f>
        <v/>
      </c>
      <c r="X44" s="11">
        <f>W44</f>
        <v/>
      </c>
      <c r="Y44" s="11">
        <f>R44+U44</f>
        <v/>
      </c>
      <c r="Z44" s="11">
        <f>S44+V44+X44</f>
        <v/>
      </c>
      <c r="AA44" s="11">
        <f>Q44+T44+W44</f>
        <v/>
      </c>
      <c r="AB44" s="11">
        <f>F44-Y44</f>
        <v/>
      </c>
      <c r="AC44" s="9" t="n"/>
      <c r="AD44" s="12">
        <f>IF(AC44="","",AA44-AC44)</f>
        <v/>
      </c>
    </row>
    <row r="45">
      <c r="A45" s="2" t="n">
        <v>2020</v>
      </c>
      <c r="B45" s="2" t="n">
        <v>1</v>
      </c>
      <c r="C45" s="8">
        <f>IF(設定!$B$3="","",DATEDIF(設定!$B$3,EOMONTH(DATE(A45,B45,1),0),"Y"))</f>
        <v/>
      </c>
      <c r="D45" s="8">
        <f>IF(設定!$B$3="",FALSE,AND(EOMONTH(DATE(A45,B45,1),0)&gt;=DATE(YEAR(設定!$B$3)+40,MONTH(設定!$B$3),DAY(設定!$B$3))-1,EOMONTH(DATE(A45,B45,1),0)&lt;DATE(YEAR(設定!$B$3)+65,MONTH(設定!$B$3),DAY(設定!$B$3))-1))</f>
        <v/>
      </c>
      <c r="E45" s="9" t="n">
        <v>88000</v>
      </c>
      <c r="F45" s="9" t="n">
        <v>83000</v>
      </c>
      <c r="G45" s="10">
        <f>XLOOKUP(DATE(A45,B45,1),料率マスタ!$A:$A,料率マスタ!$B:$B,,-1,-1)</f>
        <v/>
      </c>
      <c r="H45" s="10">
        <f>XLOOKUP(DATE(A45,B45,1),料率マスタ!$A:$A,料率マスタ!$C:$C,,-1,-1)</f>
        <v/>
      </c>
      <c r="I45" s="10">
        <f>XLOOKUP(DATE(A45,B45,1),料率マスタ!$A:$A,料率マスタ!$D:$D,,-1,-1)</f>
        <v/>
      </c>
      <c r="J45" s="10">
        <f>XLOOKUP(DATE(A45,B45,1),料率マスタ!$A:$A,料率マスタ!$E:$E,,-1,-1)</f>
        <v/>
      </c>
      <c r="K45" s="10">
        <f>XLOOKUP(DATE(A45,B45,1),料率マスタ!$A:$A,料率マスタ!$F:$F,,-1,-1)</f>
        <v/>
      </c>
      <c r="L45" s="10">
        <f>G45+IF(D45,H45,0)</f>
        <v/>
      </c>
      <c r="M45" s="11">
        <f>E45*L45</f>
        <v/>
      </c>
      <c r="N45" s="11">
        <f>E45*K45</f>
        <v/>
      </c>
      <c r="O45" s="11">
        <f>E45*I45</f>
        <v/>
      </c>
      <c r="P45" s="11">
        <f>ROUNDDOWN(E45*J45,0)</f>
        <v/>
      </c>
      <c r="Q45" s="11">
        <f>ROUNDDOWN(ROUND(M45+N45,2),0)</f>
        <v/>
      </c>
      <c r="R45" s="11">
        <f>INT(M45/2)+IF(MOD(M45,2)&gt;1,1,0)+INT(N45/2)+IF(MOD(N45,2)&gt;1,1,0)</f>
        <v/>
      </c>
      <c r="S45" s="11">
        <f>Q45-R45</f>
        <v/>
      </c>
      <c r="T45" s="11">
        <f>ROUNDDOWN(O45,0)</f>
        <v/>
      </c>
      <c r="U45" s="11">
        <f>INT(O45/2)+IF(MOD(O45,2)&gt;1,1,0)</f>
        <v/>
      </c>
      <c r="V45" s="11">
        <f>T45-U45</f>
        <v/>
      </c>
      <c r="W45" s="11">
        <f>P45</f>
        <v/>
      </c>
      <c r="X45" s="11">
        <f>W45</f>
        <v/>
      </c>
      <c r="Y45" s="11">
        <f>R45+U45</f>
        <v/>
      </c>
      <c r="Z45" s="11">
        <f>S45+V45+X45</f>
        <v/>
      </c>
      <c r="AA45" s="11">
        <f>Q45+T45+W45</f>
        <v/>
      </c>
      <c r="AB45" s="11">
        <f>F45-Y45</f>
        <v/>
      </c>
      <c r="AC45" s="9" t="n"/>
      <c r="AD45" s="12">
        <f>IF(AC45="","",AA45-AC45)</f>
        <v/>
      </c>
    </row>
    <row r="46">
      <c r="A46" s="2" t="n">
        <v>2020</v>
      </c>
      <c r="B46" s="2" t="n">
        <v>2</v>
      </c>
      <c r="C46" s="8">
        <f>IF(設定!$B$3="","",DATEDIF(設定!$B$3,EOMONTH(DATE(A46,B46,1),0),"Y"))</f>
        <v/>
      </c>
      <c r="D46" s="8">
        <f>IF(設定!$B$3="",FALSE,AND(EOMONTH(DATE(A46,B46,1),0)&gt;=DATE(YEAR(設定!$B$3)+40,MONTH(設定!$B$3),DAY(設定!$B$3))-1,EOMONTH(DATE(A46,B46,1),0)&lt;DATE(YEAR(設定!$B$3)+65,MONTH(設定!$B$3),DAY(設定!$B$3))-1))</f>
        <v/>
      </c>
      <c r="E46" s="9" t="n">
        <v>88000</v>
      </c>
      <c r="F46" s="9" t="n">
        <v>83000</v>
      </c>
      <c r="G46" s="10">
        <f>XLOOKUP(DATE(A46,B46,1),料率マスタ!$A:$A,料率マスタ!$B:$B,,-1,-1)</f>
        <v/>
      </c>
      <c r="H46" s="10">
        <f>XLOOKUP(DATE(A46,B46,1),料率マスタ!$A:$A,料率マスタ!$C:$C,,-1,-1)</f>
        <v/>
      </c>
      <c r="I46" s="10">
        <f>XLOOKUP(DATE(A46,B46,1),料率マスタ!$A:$A,料率マスタ!$D:$D,,-1,-1)</f>
        <v/>
      </c>
      <c r="J46" s="10">
        <f>XLOOKUP(DATE(A46,B46,1),料率マスタ!$A:$A,料率マスタ!$E:$E,,-1,-1)</f>
        <v/>
      </c>
      <c r="K46" s="10">
        <f>XLOOKUP(DATE(A46,B46,1),料率マスタ!$A:$A,料率マスタ!$F:$F,,-1,-1)</f>
        <v/>
      </c>
      <c r="L46" s="10">
        <f>G46+IF(D46,H46,0)</f>
        <v/>
      </c>
      <c r="M46" s="11">
        <f>E46*L46</f>
        <v/>
      </c>
      <c r="N46" s="11">
        <f>E46*K46</f>
        <v/>
      </c>
      <c r="O46" s="11">
        <f>E46*I46</f>
        <v/>
      </c>
      <c r="P46" s="11">
        <f>ROUNDDOWN(E46*J46,0)</f>
        <v/>
      </c>
      <c r="Q46" s="11">
        <f>ROUNDDOWN(ROUND(M46+N46,2),0)</f>
        <v/>
      </c>
      <c r="R46" s="11">
        <f>INT(M46/2)+IF(MOD(M46,2)&gt;1,1,0)+INT(N46/2)+IF(MOD(N46,2)&gt;1,1,0)</f>
        <v/>
      </c>
      <c r="S46" s="11">
        <f>Q46-R46</f>
        <v/>
      </c>
      <c r="T46" s="11">
        <f>ROUNDDOWN(O46,0)</f>
        <v/>
      </c>
      <c r="U46" s="11">
        <f>INT(O46/2)+IF(MOD(O46,2)&gt;1,1,0)</f>
        <v/>
      </c>
      <c r="V46" s="11">
        <f>T46-U46</f>
        <v/>
      </c>
      <c r="W46" s="11">
        <f>P46</f>
        <v/>
      </c>
      <c r="X46" s="11">
        <f>W46</f>
        <v/>
      </c>
      <c r="Y46" s="11">
        <f>R46+U46</f>
        <v/>
      </c>
      <c r="Z46" s="11">
        <f>S46+V46+X46</f>
        <v/>
      </c>
      <c r="AA46" s="11">
        <f>Q46+T46+W46</f>
        <v/>
      </c>
      <c r="AB46" s="11">
        <f>F46-Y46</f>
        <v/>
      </c>
      <c r="AC46" s="9" t="n"/>
      <c r="AD46" s="12">
        <f>IF(AC46="","",AA46-AC46)</f>
        <v/>
      </c>
    </row>
    <row r="47">
      <c r="A47" s="2" t="n">
        <v>2020</v>
      </c>
      <c r="B47" s="2" t="n">
        <v>3</v>
      </c>
      <c r="C47" s="8">
        <f>IF(設定!$B$3="","",DATEDIF(設定!$B$3,EOMONTH(DATE(A47,B47,1),0),"Y"))</f>
        <v/>
      </c>
      <c r="D47" s="8">
        <f>IF(設定!$B$3="",FALSE,AND(EOMONTH(DATE(A47,B47,1),0)&gt;=DATE(YEAR(設定!$B$3)+40,MONTH(設定!$B$3),DAY(設定!$B$3))-1,EOMONTH(DATE(A47,B47,1),0)&lt;DATE(YEAR(設定!$B$3)+65,MONTH(設定!$B$3),DAY(設定!$B$3))-1))</f>
        <v/>
      </c>
      <c r="E47" s="9" t="n">
        <v>88000</v>
      </c>
      <c r="F47" s="9" t="n">
        <v>83000</v>
      </c>
      <c r="G47" s="10">
        <f>XLOOKUP(DATE(A47,B47,1),料率マスタ!$A:$A,料率マスタ!$B:$B,,-1,-1)</f>
        <v/>
      </c>
      <c r="H47" s="10">
        <f>XLOOKUP(DATE(A47,B47,1),料率マスタ!$A:$A,料率マスタ!$C:$C,,-1,-1)</f>
        <v/>
      </c>
      <c r="I47" s="10">
        <f>XLOOKUP(DATE(A47,B47,1),料率マスタ!$A:$A,料率マスタ!$D:$D,,-1,-1)</f>
        <v/>
      </c>
      <c r="J47" s="10">
        <f>XLOOKUP(DATE(A47,B47,1),料率マスタ!$A:$A,料率マスタ!$E:$E,,-1,-1)</f>
        <v/>
      </c>
      <c r="K47" s="10">
        <f>XLOOKUP(DATE(A47,B47,1),料率マスタ!$A:$A,料率マスタ!$F:$F,,-1,-1)</f>
        <v/>
      </c>
      <c r="L47" s="10">
        <f>G47+IF(D47,H47,0)</f>
        <v/>
      </c>
      <c r="M47" s="11">
        <f>E47*L47</f>
        <v/>
      </c>
      <c r="N47" s="11">
        <f>E47*K47</f>
        <v/>
      </c>
      <c r="O47" s="11">
        <f>E47*I47</f>
        <v/>
      </c>
      <c r="P47" s="11">
        <f>ROUNDDOWN(E47*J47,0)</f>
        <v/>
      </c>
      <c r="Q47" s="11">
        <f>ROUNDDOWN(ROUND(M47+N47,2),0)</f>
        <v/>
      </c>
      <c r="R47" s="11">
        <f>INT(M47/2)+IF(MOD(M47,2)&gt;1,1,0)+INT(N47/2)+IF(MOD(N47,2)&gt;1,1,0)</f>
        <v/>
      </c>
      <c r="S47" s="11">
        <f>Q47-R47</f>
        <v/>
      </c>
      <c r="T47" s="11">
        <f>ROUNDDOWN(O47,0)</f>
        <v/>
      </c>
      <c r="U47" s="11">
        <f>INT(O47/2)+IF(MOD(O47,2)&gt;1,1,0)</f>
        <v/>
      </c>
      <c r="V47" s="11">
        <f>T47-U47</f>
        <v/>
      </c>
      <c r="W47" s="11">
        <f>P47</f>
        <v/>
      </c>
      <c r="X47" s="11">
        <f>W47</f>
        <v/>
      </c>
      <c r="Y47" s="11">
        <f>R47+U47</f>
        <v/>
      </c>
      <c r="Z47" s="11">
        <f>S47+V47+X47</f>
        <v/>
      </c>
      <c r="AA47" s="11">
        <f>Q47+T47+W47</f>
        <v/>
      </c>
      <c r="AB47" s="11">
        <f>F47-Y47</f>
        <v/>
      </c>
      <c r="AC47" s="9" t="n"/>
      <c r="AD47" s="12">
        <f>IF(AC47="","",AA47-AC47)</f>
        <v/>
      </c>
    </row>
    <row r="48">
      <c r="A48" s="2" t="n">
        <v>2020</v>
      </c>
      <c r="B48" s="2" t="n">
        <v>4</v>
      </c>
      <c r="C48" s="8">
        <f>IF(設定!$B$3="","",DATEDIF(設定!$B$3,EOMONTH(DATE(A48,B48,1),0),"Y"))</f>
        <v/>
      </c>
      <c r="D48" s="8">
        <f>IF(設定!$B$3="",FALSE,AND(EOMONTH(DATE(A48,B48,1),0)&gt;=DATE(YEAR(設定!$B$3)+40,MONTH(設定!$B$3),DAY(設定!$B$3))-1,EOMONTH(DATE(A48,B48,1),0)&lt;DATE(YEAR(設定!$B$3)+65,MONTH(設定!$B$3),DAY(設定!$B$3))-1))</f>
        <v/>
      </c>
      <c r="E48" s="9" t="n">
        <v>88000</v>
      </c>
      <c r="F48" s="9" t="n">
        <v>83000</v>
      </c>
      <c r="G48" s="10">
        <f>XLOOKUP(DATE(A48,B48,1),料率マスタ!$A:$A,料率マスタ!$B:$B,,-1,-1)</f>
        <v/>
      </c>
      <c r="H48" s="10">
        <f>XLOOKUP(DATE(A48,B48,1),料率マスタ!$A:$A,料率マスタ!$C:$C,,-1,-1)</f>
        <v/>
      </c>
      <c r="I48" s="10">
        <f>XLOOKUP(DATE(A48,B48,1),料率マスタ!$A:$A,料率マスタ!$D:$D,,-1,-1)</f>
        <v/>
      </c>
      <c r="J48" s="10">
        <f>XLOOKUP(DATE(A48,B48,1),料率マスタ!$A:$A,料率マスタ!$E:$E,,-1,-1)</f>
        <v/>
      </c>
      <c r="K48" s="10">
        <f>XLOOKUP(DATE(A48,B48,1),料率マスタ!$A:$A,料率マスタ!$F:$F,,-1,-1)</f>
        <v/>
      </c>
      <c r="L48" s="10">
        <f>G48+IF(D48,H48,0)</f>
        <v/>
      </c>
      <c r="M48" s="11">
        <f>E48*L48</f>
        <v/>
      </c>
      <c r="N48" s="11">
        <f>E48*K48</f>
        <v/>
      </c>
      <c r="O48" s="11">
        <f>E48*I48</f>
        <v/>
      </c>
      <c r="P48" s="11">
        <f>ROUNDDOWN(E48*J48,0)</f>
        <v/>
      </c>
      <c r="Q48" s="11">
        <f>ROUNDDOWN(ROUND(M48+N48,2),0)</f>
        <v/>
      </c>
      <c r="R48" s="11">
        <f>INT(M48/2)+IF(MOD(M48,2)&gt;1,1,0)+INT(N48/2)+IF(MOD(N48,2)&gt;1,1,0)</f>
        <v/>
      </c>
      <c r="S48" s="11">
        <f>Q48-R48</f>
        <v/>
      </c>
      <c r="T48" s="11">
        <f>ROUNDDOWN(O48,0)</f>
        <v/>
      </c>
      <c r="U48" s="11">
        <f>INT(O48/2)+IF(MOD(O48,2)&gt;1,1,0)</f>
        <v/>
      </c>
      <c r="V48" s="11">
        <f>T48-U48</f>
        <v/>
      </c>
      <c r="W48" s="11">
        <f>P48</f>
        <v/>
      </c>
      <c r="X48" s="11">
        <f>W48</f>
        <v/>
      </c>
      <c r="Y48" s="11">
        <f>R48+U48</f>
        <v/>
      </c>
      <c r="Z48" s="11">
        <f>S48+V48+X48</f>
        <v/>
      </c>
      <c r="AA48" s="11">
        <f>Q48+T48+W48</f>
        <v/>
      </c>
      <c r="AB48" s="11">
        <f>F48-Y48</f>
        <v/>
      </c>
      <c r="AC48" s="9" t="n"/>
      <c r="AD48" s="12">
        <f>IF(AC48="","",AA48-AC48)</f>
        <v/>
      </c>
    </row>
    <row r="49">
      <c r="A49" s="2" t="n">
        <v>2020</v>
      </c>
      <c r="B49" s="2" t="n">
        <v>5</v>
      </c>
      <c r="C49" s="8">
        <f>IF(設定!$B$3="","",DATEDIF(設定!$B$3,EOMONTH(DATE(A49,B49,1),0),"Y"))</f>
        <v/>
      </c>
      <c r="D49" s="8">
        <f>IF(設定!$B$3="",FALSE,AND(EOMONTH(DATE(A49,B49,1),0)&gt;=DATE(YEAR(設定!$B$3)+40,MONTH(設定!$B$3),DAY(設定!$B$3))-1,EOMONTH(DATE(A49,B49,1),0)&lt;DATE(YEAR(設定!$B$3)+65,MONTH(設定!$B$3),DAY(設定!$B$3))-1))</f>
        <v/>
      </c>
      <c r="E49" s="9" t="n">
        <v>88000</v>
      </c>
      <c r="F49" s="9" t="n">
        <v>83000</v>
      </c>
      <c r="G49" s="10">
        <f>XLOOKUP(DATE(A49,B49,1),料率マスタ!$A:$A,料率マスタ!$B:$B,,-1,-1)</f>
        <v/>
      </c>
      <c r="H49" s="10">
        <f>XLOOKUP(DATE(A49,B49,1),料率マスタ!$A:$A,料率マスタ!$C:$C,,-1,-1)</f>
        <v/>
      </c>
      <c r="I49" s="10">
        <f>XLOOKUP(DATE(A49,B49,1),料率マスタ!$A:$A,料率マスタ!$D:$D,,-1,-1)</f>
        <v/>
      </c>
      <c r="J49" s="10">
        <f>XLOOKUP(DATE(A49,B49,1),料率マスタ!$A:$A,料率マスタ!$E:$E,,-1,-1)</f>
        <v/>
      </c>
      <c r="K49" s="10">
        <f>XLOOKUP(DATE(A49,B49,1),料率マスタ!$A:$A,料率マスタ!$F:$F,,-1,-1)</f>
        <v/>
      </c>
      <c r="L49" s="10">
        <f>G49+IF(D49,H49,0)</f>
        <v/>
      </c>
      <c r="M49" s="11">
        <f>E49*L49</f>
        <v/>
      </c>
      <c r="N49" s="11">
        <f>E49*K49</f>
        <v/>
      </c>
      <c r="O49" s="11">
        <f>E49*I49</f>
        <v/>
      </c>
      <c r="P49" s="11">
        <f>ROUNDDOWN(E49*J49,0)</f>
        <v/>
      </c>
      <c r="Q49" s="11">
        <f>ROUNDDOWN(ROUND(M49+N49,2),0)</f>
        <v/>
      </c>
      <c r="R49" s="11">
        <f>INT(M49/2)+IF(MOD(M49,2)&gt;1,1,0)+INT(N49/2)+IF(MOD(N49,2)&gt;1,1,0)</f>
        <v/>
      </c>
      <c r="S49" s="11">
        <f>Q49-R49</f>
        <v/>
      </c>
      <c r="T49" s="11">
        <f>ROUNDDOWN(O49,0)</f>
        <v/>
      </c>
      <c r="U49" s="11">
        <f>INT(O49/2)+IF(MOD(O49,2)&gt;1,1,0)</f>
        <v/>
      </c>
      <c r="V49" s="11">
        <f>T49-U49</f>
        <v/>
      </c>
      <c r="W49" s="11">
        <f>P49</f>
        <v/>
      </c>
      <c r="X49" s="11">
        <f>W49</f>
        <v/>
      </c>
      <c r="Y49" s="11">
        <f>R49+U49</f>
        <v/>
      </c>
      <c r="Z49" s="11">
        <f>S49+V49+X49</f>
        <v/>
      </c>
      <c r="AA49" s="11">
        <f>Q49+T49+W49</f>
        <v/>
      </c>
      <c r="AB49" s="11">
        <f>F49-Y49</f>
        <v/>
      </c>
      <c r="AC49" s="9" t="n"/>
      <c r="AD49" s="12">
        <f>IF(AC49="","",AA49-AC49)</f>
        <v/>
      </c>
    </row>
    <row r="50">
      <c r="A50" s="2" t="n">
        <v>2020</v>
      </c>
      <c r="B50" s="2" t="n">
        <v>6</v>
      </c>
      <c r="C50" s="8">
        <f>IF(設定!$B$3="","",DATEDIF(設定!$B$3,EOMONTH(DATE(A50,B50,1),0),"Y"))</f>
        <v/>
      </c>
      <c r="D50" s="8">
        <f>IF(設定!$B$3="",FALSE,AND(EOMONTH(DATE(A50,B50,1),0)&gt;=DATE(YEAR(設定!$B$3)+40,MONTH(設定!$B$3),DAY(設定!$B$3))-1,EOMONTH(DATE(A50,B50,1),0)&lt;DATE(YEAR(設定!$B$3)+65,MONTH(設定!$B$3),DAY(設定!$B$3))-1))</f>
        <v/>
      </c>
      <c r="E50" s="9" t="n">
        <v>88000</v>
      </c>
      <c r="F50" s="9" t="n">
        <v>83000</v>
      </c>
      <c r="G50" s="10">
        <f>XLOOKUP(DATE(A50,B50,1),料率マスタ!$A:$A,料率マスタ!$B:$B,,-1,-1)</f>
        <v/>
      </c>
      <c r="H50" s="10">
        <f>XLOOKUP(DATE(A50,B50,1),料率マスタ!$A:$A,料率マスタ!$C:$C,,-1,-1)</f>
        <v/>
      </c>
      <c r="I50" s="10">
        <f>XLOOKUP(DATE(A50,B50,1),料率マスタ!$A:$A,料率マスタ!$D:$D,,-1,-1)</f>
        <v/>
      </c>
      <c r="J50" s="10">
        <f>XLOOKUP(DATE(A50,B50,1),料率マスタ!$A:$A,料率マスタ!$E:$E,,-1,-1)</f>
        <v/>
      </c>
      <c r="K50" s="10">
        <f>XLOOKUP(DATE(A50,B50,1),料率マスタ!$A:$A,料率マスタ!$F:$F,,-1,-1)</f>
        <v/>
      </c>
      <c r="L50" s="10">
        <f>G50+IF(D50,H50,0)</f>
        <v/>
      </c>
      <c r="M50" s="11">
        <f>E50*L50</f>
        <v/>
      </c>
      <c r="N50" s="11">
        <f>E50*K50</f>
        <v/>
      </c>
      <c r="O50" s="11">
        <f>E50*I50</f>
        <v/>
      </c>
      <c r="P50" s="11">
        <f>ROUNDDOWN(E50*J50,0)</f>
        <v/>
      </c>
      <c r="Q50" s="11">
        <f>ROUNDDOWN(ROUND(M50+N50,2),0)</f>
        <v/>
      </c>
      <c r="R50" s="11">
        <f>INT(M50/2)+IF(MOD(M50,2)&gt;1,1,0)+INT(N50/2)+IF(MOD(N50,2)&gt;1,1,0)</f>
        <v/>
      </c>
      <c r="S50" s="11">
        <f>Q50-R50</f>
        <v/>
      </c>
      <c r="T50" s="11">
        <f>ROUNDDOWN(O50,0)</f>
        <v/>
      </c>
      <c r="U50" s="11">
        <f>INT(O50/2)+IF(MOD(O50,2)&gt;1,1,0)</f>
        <v/>
      </c>
      <c r="V50" s="11">
        <f>T50-U50</f>
        <v/>
      </c>
      <c r="W50" s="11">
        <f>P50</f>
        <v/>
      </c>
      <c r="X50" s="11">
        <f>W50</f>
        <v/>
      </c>
      <c r="Y50" s="11">
        <f>R50+U50</f>
        <v/>
      </c>
      <c r="Z50" s="11">
        <f>S50+V50+X50</f>
        <v/>
      </c>
      <c r="AA50" s="11">
        <f>Q50+T50+W50</f>
        <v/>
      </c>
      <c r="AB50" s="11">
        <f>F50-Y50</f>
        <v/>
      </c>
      <c r="AC50" s="9" t="n"/>
      <c r="AD50" s="12">
        <f>IF(AC50="","",AA50-AC50)</f>
        <v/>
      </c>
    </row>
    <row r="51">
      <c r="A51" s="2" t="n">
        <v>2020</v>
      </c>
      <c r="B51" s="2" t="n">
        <v>7</v>
      </c>
      <c r="C51" s="8">
        <f>IF(設定!$B$3="","",DATEDIF(設定!$B$3,EOMONTH(DATE(A51,B51,1),0),"Y"))</f>
        <v/>
      </c>
      <c r="D51" s="8">
        <f>IF(設定!$B$3="",FALSE,AND(EOMONTH(DATE(A51,B51,1),0)&gt;=DATE(YEAR(設定!$B$3)+40,MONTH(設定!$B$3),DAY(設定!$B$3))-1,EOMONTH(DATE(A51,B51,1),0)&lt;DATE(YEAR(設定!$B$3)+65,MONTH(設定!$B$3),DAY(設定!$B$3))-1))</f>
        <v/>
      </c>
      <c r="E51" s="9" t="n">
        <v>88000</v>
      </c>
      <c r="F51" s="9" t="n">
        <v>83000</v>
      </c>
      <c r="G51" s="10">
        <f>XLOOKUP(DATE(A51,B51,1),料率マスタ!$A:$A,料率マスタ!$B:$B,,-1,-1)</f>
        <v/>
      </c>
      <c r="H51" s="10">
        <f>XLOOKUP(DATE(A51,B51,1),料率マスタ!$A:$A,料率マスタ!$C:$C,,-1,-1)</f>
        <v/>
      </c>
      <c r="I51" s="10">
        <f>XLOOKUP(DATE(A51,B51,1),料率マスタ!$A:$A,料率マスタ!$D:$D,,-1,-1)</f>
        <v/>
      </c>
      <c r="J51" s="10">
        <f>XLOOKUP(DATE(A51,B51,1),料率マスタ!$A:$A,料率マスタ!$E:$E,,-1,-1)</f>
        <v/>
      </c>
      <c r="K51" s="10">
        <f>XLOOKUP(DATE(A51,B51,1),料率マスタ!$A:$A,料率マスタ!$F:$F,,-1,-1)</f>
        <v/>
      </c>
      <c r="L51" s="10">
        <f>G51+IF(D51,H51,0)</f>
        <v/>
      </c>
      <c r="M51" s="11">
        <f>E51*L51</f>
        <v/>
      </c>
      <c r="N51" s="11">
        <f>E51*K51</f>
        <v/>
      </c>
      <c r="O51" s="11">
        <f>E51*I51</f>
        <v/>
      </c>
      <c r="P51" s="11">
        <f>ROUNDDOWN(E51*J51,0)</f>
        <v/>
      </c>
      <c r="Q51" s="11">
        <f>ROUNDDOWN(ROUND(M51+N51,2),0)</f>
        <v/>
      </c>
      <c r="R51" s="11">
        <f>INT(M51/2)+IF(MOD(M51,2)&gt;1,1,0)+INT(N51/2)+IF(MOD(N51,2)&gt;1,1,0)</f>
        <v/>
      </c>
      <c r="S51" s="11">
        <f>Q51-R51</f>
        <v/>
      </c>
      <c r="T51" s="11">
        <f>ROUNDDOWN(O51,0)</f>
        <v/>
      </c>
      <c r="U51" s="11">
        <f>INT(O51/2)+IF(MOD(O51,2)&gt;1,1,0)</f>
        <v/>
      </c>
      <c r="V51" s="11">
        <f>T51-U51</f>
        <v/>
      </c>
      <c r="W51" s="11">
        <f>P51</f>
        <v/>
      </c>
      <c r="X51" s="11">
        <f>W51</f>
        <v/>
      </c>
      <c r="Y51" s="11">
        <f>R51+U51</f>
        <v/>
      </c>
      <c r="Z51" s="11">
        <f>S51+V51+X51</f>
        <v/>
      </c>
      <c r="AA51" s="11">
        <f>Q51+T51+W51</f>
        <v/>
      </c>
      <c r="AB51" s="11">
        <f>F51-Y51</f>
        <v/>
      </c>
      <c r="AC51" s="9" t="n"/>
      <c r="AD51" s="12">
        <f>IF(AC51="","",AA51-AC51)</f>
        <v/>
      </c>
    </row>
    <row r="52">
      <c r="A52" s="2" t="n">
        <v>2020</v>
      </c>
      <c r="B52" s="2" t="n">
        <v>8</v>
      </c>
      <c r="C52" s="8">
        <f>IF(設定!$B$3="","",DATEDIF(設定!$B$3,EOMONTH(DATE(A52,B52,1),0),"Y"))</f>
        <v/>
      </c>
      <c r="D52" s="8">
        <f>IF(設定!$B$3="",FALSE,AND(EOMONTH(DATE(A52,B52,1),0)&gt;=DATE(YEAR(設定!$B$3)+40,MONTH(設定!$B$3),DAY(設定!$B$3))-1,EOMONTH(DATE(A52,B52,1),0)&lt;DATE(YEAR(設定!$B$3)+65,MONTH(設定!$B$3),DAY(設定!$B$3))-1))</f>
        <v/>
      </c>
      <c r="E52" s="9" t="n">
        <v>88000</v>
      </c>
      <c r="F52" s="9" t="n">
        <v>83000</v>
      </c>
      <c r="G52" s="10">
        <f>XLOOKUP(DATE(A52,B52,1),料率マスタ!$A:$A,料率マスタ!$B:$B,,-1,-1)</f>
        <v/>
      </c>
      <c r="H52" s="10">
        <f>XLOOKUP(DATE(A52,B52,1),料率マスタ!$A:$A,料率マスタ!$C:$C,,-1,-1)</f>
        <v/>
      </c>
      <c r="I52" s="10">
        <f>XLOOKUP(DATE(A52,B52,1),料率マスタ!$A:$A,料率マスタ!$D:$D,,-1,-1)</f>
        <v/>
      </c>
      <c r="J52" s="10">
        <f>XLOOKUP(DATE(A52,B52,1),料率マスタ!$A:$A,料率マスタ!$E:$E,,-1,-1)</f>
        <v/>
      </c>
      <c r="K52" s="10">
        <f>XLOOKUP(DATE(A52,B52,1),料率マスタ!$A:$A,料率マスタ!$F:$F,,-1,-1)</f>
        <v/>
      </c>
      <c r="L52" s="10">
        <f>G52+IF(D52,H52,0)</f>
        <v/>
      </c>
      <c r="M52" s="11">
        <f>E52*L52</f>
        <v/>
      </c>
      <c r="N52" s="11">
        <f>E52*K52</f>
        <v/>
      </c>
      <c r="O52" s="11">
        <f>E52*I52</f>
        <v/>
      </c>
      <c r="P52" s="11">
        <f>ROUNDDOWN(E52*J52,0)</f>
        <v/>
      </c>
      <c r="Q52" s="11">
        <f>ROUNDDOWN(ROUND(M52+N52,2),0)</f>
        <v/>
      </c>
      <c r="R52" s="11">
        <f>INT(M52/2)+IF(MOD(M52,2)&gt;1,1,0)+INT(N52/2)+IF(MOD(N52,2)&gt;1,1,0)</f>
        <v/>
      </c>
      <c r="S52" s="11">
        <f>Q52-R52</f>
        <v/>
      </c>
      <c r="T52" s="11">
        <f>ROUNDDOWN(O52,0)</f>
        <v/>
      </c>
      <c r="U52" s="11">
        <f>INT(O52/2)+IF(MOD(O52,2)&gt;1,1,0)</f>
        <v/>
      </c>
      <c r="V52" s="11">
        <f>T52-U52</f>
        <v/>
      </c>
      <c r="W52" s="11">
        <f>P52</f>
        <v/>
      </c>
      <c r="X52" s="11">
        <f>W52</f>
        <v/>
      </c>
      <c r="Y52" s="11">
        <f>R52+U52</f>
        <v/>
      </c>
      <c r="Z52" s="11">
        <f>S52+V52+X52</f>
        <v/>
      </c>
      <c r="AA52" s="11">
        <f>Q52+T52+W52</f>
        <v/>
      </c>
      <c r="AB52" s="11">
        <f>F52-Y52</f>
        <v/>
      </c>
      <c r="AC52" s="9" t="n"/>
      <c r="AD52" s="12">
        <f>IF(AC52="","",AA52-AC52)</f>
        <v/>
      </c>
    </row>
    <row r="53">
      <c r="A53" s="2" t="n">
        <v>2020</v>
      </c>
      <c r="B53" s="2" t="n">
        <v>9</v>
      </c>
      <c r="C53" s="8">
        <f>IF(設定!$B$3="","",DATEDIF(設定!$B$3,EOMONTH(DATE(A53,B53,1),0),"Y"))</f>
        <v/>
      </c>
      <c r="D53" s="8">
        <f>IF(設定!$B$3="",FALSE,AND(EOMONTH(DATE(A53,B53,1),0)&gt;=DATE(YEAR(設定!$B$3)+40,MONTH(設定!$B$3),DAY(設定!$B$3))-1,EOMONTH(DATE(A53,B53,1),0)&lt;DATE(YEAR(設定!$B$3)+65,MONTH(設定!$B$3),DAY(設定!$B$3))-1))</f>
        <v/>
      </c>
      <c r="E53" s="9" t="n">
        <v>88000</v>
      </c>
      <c r="F53" s="9" t="n">
        <v>83000</v>
      </c>
      <c r="G53" s="10">
        <f>XLOOKUP(DATE(A53,B53,1),料率マスタ!$A:$A,料率マスタ!$B:$B,,-1,-1)</f>
        <v/>
      </c>
      <c r="H53" s="10">
        <f>XLOOKUP(DATE(A53,B53,1),料率マスタ!$A:$A,料率マスタ!$C:$C,,-1,-1)</f>
        <v/>
      </c>
      <c r="I53" s="10">
        <f>XLOOKUP(DATE(A53,B53,1),料率マスタ!$A:$A,料率マスタ!$D:$D,,-1,-1)</f>
        <v/>
      </c>
      <c r="J53" s="10">
        <f>XLOOKUP(DATE(A53,B53,1),料率マスタ!$A:$A,料率マスタ!$E:$E,,-1,-1)</f>
        <v/>
      </c>
      <c r="K53" s="10">
        <f>XLOOKUP(DATE(A53,B53,1),料率マスタ!$A:$A,料率マスタ!$F:$F,,-1,-1)</f>
        <v/>
      </c>
      <c r="L53" s="10">
        <f>G53+IF(D53,H53,0)</f>
        <v/>
      </c>
      <c r="M53" s="11">
        <f>E53*L53</f>
        <v/>
      </c>
      <c r="N53" s="11">
        <f>E53*K53</f>
        <v/>
      </c>
      <c r="O53" s="11">
        <f>E53*I53</f>
        <v/>
      </c>
      <c r="P53" s="11">
        <f>ROUNDDOWN(E53*J53,0)</f>
        <v/>
      </c>
      <c r="Q53" s="11">
        <f>ROUNDDOWN(ROUND(M53+N53,2),0)</f>
        <v/>
      </c>
      <c r="R53" s="11">
        <f>INT(M53/2)+IF(MOD(M53,2)&gt;1,1,0)+INT(N53/2)+IF(MOD(N53,2)&gt;1,1,0)</f>
        <v/>
      </c>
      <c r="S53" s="11">
        <f>Q53-R53</f>
        <v/>
      </c>
      <c r="T53" s="11">
        <f>ROUNDDOWN(O53,0)</f>
        <v/>
      </c>
      <c r="U53" s="11">
        <f>INT(O53/2)+IF(MOD(O53,2)&gt;1,1,0)</f>
        <v/>
      </c>
      <c r="V53" s="11">
        <f>T53-U53</f>
        <v/>
      </c>
      <c r="W53" s="11">
        <f>P53</f>
        <v/>
      </c>
      <c r="X53" s="11">
        <f>W53</f>
        <v/>
      </c>
      <c r="Y53" s="11">
        <f>R53+U53</f>
        <v/>
      </c>
      <c r="Z53" s="11">
        <f>S53+V53+X53</f>
        <v/>
      </c>
      <c r="AA53" s="11">
        <f>Q53+T53+W53</f>
        <v/>
      </c>
      <c r="AB53" s="11">
        <f>F53-Y53</f>
        <v/>
      </c>
      <c r="AC53" s="9" t="n"/>
      <c r="AD53" s="12">
        <f>IF(AC53="","",AA53-AC53)</f>
        <v/>
      </c>
    </row>
    <row r="54">
      <c r="A54" s="2" t="n">
        <v>2020</v>
      </c>
      <c r="B54" s="2" t="n">
        <v>10</v>
      </c>
      <c r="C54" s="8">
        <f>IF(設定!$B$3="","",DATEDIF(設定!$B$3,EOMONTH(DATE(A54,B54,1),0),"Y"))</f>
        <v/>
      </c>
      <c r="D54" s="8">
        <f>IF(設定!$B$3="",FALSE,AND(EOMONTH(DATE(A54,B54,1),0)&gt;=DATE(YEAR(設定!$B$3)+40,MONTH(設定!$B$3),DAY(設定!$B$3))-1,EOMONTH(DATE(A54,B54,1),0)&lt;DATE(YEAR(設定!$B$3)+65,MONTH(設定!$B$3),DAY(設定!$B$3))-1))</f>
        <v/>
      </c>
      <c r="E54" s="9" t="n">
        <v>88000</v>
      </c>
      <c r="F54" s="9" t="n">
        <v>83000</v>
      </c>
      <c r="G54" s="10">
        <f>XLOOKUP(DATE(A54,B54,1),料率マスタ!$A:$A,料率マスタ!$B:$B,,-1,-1)</f>
        <v/>
      </c>
      <c r="H54" s="10">
        <f>XLOOKUP(DATE(A54,B54,1),料率マスタ!$A:$A,料率マスタ!$C:$C,,-1,-1)</f>
        <v/>
      </c>
      <c r="I54" s="10">
        <f>XLOOKUP(DATE(A54,B54,1),料率マスタ!$A:$A,料率マスタ!$D:$D,,-1,-1)</f>
        <v/>
      </c>
      <c r="J54" s="10">
        <f>XLOOKUP(DATE(A54,B54,1),料率マスタ!$A:$A,料率マスタ!$E:$E,,-1,-1)</f>
        <v/>
      </c>
      <c r="K54" s="10">
        <f>XLOOKUP(DATE(A54,B54,1),料率マスタ!$A:$A,料率マスタ!$F:$F,,-1,-1)</f>
        <v/>
      </c>
      <c r="L54" s="10">
        <f>G54+IF(D54,H54,0)</f>
        <v/>
      </c>
      <c r="M54" s="11">
        <f>E54*L54</f>
        <v/>
      </c>
      <c r="N54" s="11">
        <f>E54*K54</f>
        <v/>
      </c>
      <c r="O54" s="11">
        <f>E54*I54</f>
        <v/>
      </c>
      <c r="P54" s="11">
        <f>ROUNDDOWN(E54*J54,0)</f>
        <v/>
      </c>
      <c r="Q54" s="11">
        <f>ROUNDDOWN(ROUND(M54+N54,2),0)</f>
        <v/>
      </c>
      <c r="R54" s="11">
        <f>INT(M54/2)+IF(MOD(M54,2)&gt;1,1,0)+INT(N54/2)+IF(MOD(N54,2)&gt;1,1,0)</f>
        <v/>
      </c>
      <c r="S54" s="11">
        <f>Q54-R54</f>
        <v/>
      </c>
      <c r="T54" s="11">
        <f>ROUNDDOWN(O54,0)</f>
        <v/>
      </c>
      <c r="U54" s="11">
        <f>INT(O54/2)+IF(MOD(O54,2)&gt;1,1,0)</f>
        <v/>
      </c>
      <c r="V54" s="11">
        <f>T54-U54</f>
        <v/>
      </c>
      <c r="W54" s="11">
        <f>P54</f>
        <v/>
      </c>
      <c r="X54" s="11">
        <f>W54</f>
        <v/>
      </c>
      <c r="Y54" s="11">
        <f>R54+U54</f>
        <v/>
      </c>
      <c r="Z54" s="11">
        <f>S54+V54+X54</f>
        <v/>
      </c>
      <c r="AA54" s="11">
        <f>Q54+T54+W54</f>
        <v/>
      </c>
      <c r="AB54" s="11">
        <f>F54-Y54</f>
        <v/>
      </c>
      <c r="AC54" s="9" t="n"/>
      <c r="AD54" s="12">
        <f>IF(AC54="","",AA54-AC54)</f>
        <v/>
      </c>
    </row>
    <row r="55">
      <c r="A55" s="2" t="n">
        <v>2020</v>
      </c>
      <c r="B55" s="2" t="n">
        <v>11</v>
      </c>
      <c r="C55" s="8">
        <f>IF(設定!$B$3="","",DATEDIF(設定!$B$3,EOMONTH(DATE(A55,B55,1),0),"Y"))</f>
        <v/>
      </c>
      <c r="D55" s="8">
        <f>IF(設定!$B$3="",FALSE,AND(EOMONTH(DATE(A55,B55,1),0)&gt;=DATE(YEAR(設定!$B$3)+40,MONTH(設定!$B$3),DAY(設定!$B$3))-1,EOMONTH(DATE(A55,B55,1),0)&lt;DATE(YEAR(設定!$B$3)+65,MONTH(設定!$B$3),DAY(設定!$B$3))-1))</f>
        <v/>
      </c>
      <c r="E55" s="9" t="n">
        <v>88000</v>
      </c>
      <c r="F55" s="9" t="n">
        <v>83000</v>
      </c>
      <c r="G55" s="10">
        <f>XLOOKUP(DATE(A55,B55,1),料率マスタ!$A:$A,料率マスタ!$B:$B,,-1,-1)</f>
        <v/>
      </c>
      <c r="H55" s="10">
        <f>XLOOKUP(DATE(A55,B55,1),料率マスタ!$A:$A,料率マスタ!$C:$C,,-1,-1)</f>
        <v/>
      </c>
      <c r="I55" s="10">
        <f>XLOOKUP(DATE(A55,B55,1),料率マスタ!$A:$A,料率マスタ!$D:$D,,-1,-1)</f>
        <v/>
      </c>
      <c r="J55" s="10">
        <f>XLOOKUP(DATE(A55,B55,1),料率マスタ!$A:$A,料率マスタ!$E:$E,,-1,-1)</f>
        <v/>
      </c>
      <c r="K55" s="10">
        <f>XLOOKUP(DATE(A55,B55,1),料率マスタ!$A:$A,料率マスタ!$F:$F,,-1,-1)</f>
        <v/>
      </c>
      <c r="L55" s="10">
        <f>G55+IF(D55,H55,0)</f>
        <v/>
      </c>
      <c r="M55" s="11">
        <f>E55*L55</f>
        <v/>
      </c>
      <c r="N55" s="11">
        <f>E55*K55</f>
        <v/>
      </c>
      <c r="O55" s="11">
        <f>E55*I55</f>
        <v/>
      </c>
      <c r="P55" s="11">
        <f>ROUNDDOWN(E55*J55,0)</f>
        <v/>
      </c>
      <c r="Q55" s="11">
        <f>ROUNDDOWN(ROUND(M55+N55,2),0)</f>
        <v/>
      </c>
      <c r="R55" s="11">
        <f>INT(M55/2)+IF(MOD(M55,2)&gt;1,1,0)+INT(N55/2)+IF(MOD(N55,2)&gt;1,1,0)</f>
        <v/>
      </c>
      <c r="S55" s="11">
        <f>Q55-R55</f>
        <v/>
      </c>
      <c r="T55" s="11">
        <f>ROUNDDOWN(O55,0)</f>
        <v/>
      </c>
      <c r="U55" s="11">
        <f>INT(O55/2)+IF(MOD(O55,2)&gt;1,1,0)</f>
        <v/>
      </c>
      <c r="V55" s="11">
        <f>T55-U55</f>
        <v/>
      </c>
      <c r="W55" s="11">
        <f>P55</f>
        <v/>
      </c>
      <c r="X55" s="11">
        <f>W55</f>
        <v/>
      </c>
      <c r="Y55" s="11">
        <f>R55+U55</f>
        <v/>
      </c>
      <c r="Z55" s="11">
        <f>S55+V55+X55</f>
        <v/>
      </c>
      <c r="AA55" s="11">
        <f>Q55+T55+W55</f>
        <v/>
      </c>
      <c r="AB55" s="11">
        <f>F55-Y55</f>
        <v/>
      </c>
      <c r="AC55" s="9" t="n"/>
      <c r="AD55" s="12">
        <f>IF(AC55="","",AA55-AC55)</f>
        <v/>
      </c>
    </row>
    <row r="56">
      <c r="A56" s="2" t="n">
        <v>2020</v>
      </c>
      <c r="B56" s="2" t="n">
        <v>12</v>
      </c>
      <c r="C56" s="8">
        <f>IF(設定!$B$3="","",DATEDIF(設定!$B$3,EOMONTH(DATE(A56,B56,1),0),"Y"))</f>
        <v/>
      </c>
      <c r="D56" s="8">
        <f>IF(設定!$B$3="",FALSE,AND(EOMONTH(DATE(A56,B56,1),0)&gt;=DATE(YEAR(設定!$B$3)+40,MONTH(設定!$B$3),DAY(設定!$B$3))-1,EOMONTH(DATE(A56,B56,1),0)&lt;DATE(YEAR(設定!$B$3)+65,MONTH(設定!$B$3),DAY(設定!$B$3))-1))</f>
        <v/>
      </c>
      <c r="E56" s="9" t="n">
        <v>88000</v>
      </c>
      <c r="F56" s="9" t="n">
        <v>83000</v>
      </c>
      <c r="G56" s="10">
        <f>XLOOKUP(DATE(A56,B56,1),料率マスタ!$A:$A,料率マスタ!$B:$B,,-1,-1)</f>
        <v/>
      </c>
      <c r="H56" s="10">
        <f>XLOOKUP(DATE(A56,B56,1),料率マスタ!$A:$A,料率マスタ!$C:$C,,-1,-1)</f>
        <v/>
      </c>
      <c r="I56" s="10">
        <f>XLOOKUP(DATE(A56,B56,1),料率マスタ!$A:$A,料率マスタ!$D:$D,,-1,-1)</f>
        <v/>
      </c>
      <c r="J56" s="10">
        <f>XLOOKUP(DATE(A56,B56,1),料率マスタ!$A:$A,料率マスタ!$E:$E,,-1,-1)</f>
        <v/>
      </c>
      <c r="K56" s="10">
        <f>XLOOKUP(DATE(A56,B56,1),料率マスタ!$A:$A,料率マスタ!$F:$F,,-1,-1)</f>
        <v/>
      </c>
      <c r="L56" s="10">
        <f>G56+IF(D56,H56,0)</f>
        <v/>
      </c>
      <c r="M56" s="11">
        <f>E56*L56</f>
        <v/>
      </c>
      <c r="N56" s="11">
        <f>E56*K56</f>
        <v/>
      </c>
      <c r="O56" s="11">
        <f>E56*I56</f>
        <v/>
      </c>
      <c r="P56" s="11">
        <f>ROUNDDOWN(E56*J56,0)</f>
        <v/>
      </c>
      <c r="Q56" s="11">
        <f>ROUNDDOWN(ROUND(M56+N56,2),0)</f>
        <v/>
      </c>
      <c r="R56" s="11">
        <f>INT(M56/2)+IF(MOD(M56,2)&gt;1,1,0)+INT(N56/2)+IF(MOD(N56,2)&gt;1,1,0)</f>
        <v/>
      </c>
      <c r="S56" s="11">
        <f>Q56-R56</f>
        <v/>
      </c>
      <c r="T56" s="11">
        <f>ROUNDDOWN(O56,0)</f>
        <v/>
      </c>
      <c r="U56" s="11">
        <f>INT(O56/2)+IF(MOD(O56,2)&gt;1,1,0)</f>
        <v/>
      </c>
      <c r="V56" s="11">
        <f>T56-U56</f>
        <v/>
      </c>
      <c r="W56" s="11">
        <f>P56</f>
        <v/>
      </c>
      <c r="X56" s="11">
        <f>W56</f>
        <v/>
      </c>
      <c r="Y56" s="11">
        <f>R56+U56</f>
        <v/>
      </c>
      <c r="Z56" s="11">
        <f>S56+V56+X56</f>
        <v/>
      </c>
      <c r="AA56" s="11">
        <f>Q56+T56+W56</f>
        <v/>
      </c>
      <c r="AB56" s="11">
        <f>F56-Y56</f>
        <v/>
      </c>
      <c r="AC56" s="9" t="n"/>
      <c r="AD56" s="12">
        <f>IF(AC56="","",AA56-AC56)</f>
        <v/>
      </c>
    </row>
    <row r="57">
      <c r="A57" s="2" t="n">
        <v>2021</v>
      </c>
      <c r="B57" s="2" t="n">
        <v>1</v>
      </c>
      <c r="C57" s="8">
        <f>IF(設定!$B$3="","",DATEDIF(設定!$B$3,EOMONTH(DATE(A57,B57,1),0),"Y"))</f>
        <v/>
      </c>
      <c r="D57" s="8">
        <f>IF(設定!$B$3="",FALSE,AND(EOMONTH(DATE(A57,B57,1),0)&gt;=DATE(YEAR(設定!$B$3)+40,MONTH(設定!$B$3),DAY(設定!$B$3))-1,EOMONTH(DATE(A57,B57,1),0)&lt;DATE(YEAR(設定!$B$3)+65,MONTH(設定!$B$3),DAY(設定!$B$3))-1))</f>
        <v/>
      </c>
      <c r="E57" s="9" t="n">
        <v>88000</v>
      </c>
      <c r="F57" s="9" t="n">
        <v>83000</v>
      </c>
      <c r="G57" s="10">
        <f>XLOOKUP(DATE(A57,B57,1),料率マスタ!$A:$A,料率マスタ!$B:$B,,-1,-1)</f>
        <v/>
      </c>
      <c r="H57" s="10">
        <f>XLOOKUP(DATE(A57,B57,1),料率マスタ!$A:$A,料率マスタ!$C:$C,,-1,-1)</f>
        <v/>
      </c>
      <c r="I57" s="10">
        <f>XLOOKUP(DATE(A57,B57,1),料率マスタ!$A:$A,料率マスタ!$D:$D,,-1,-1)</f>
        <v/>
      </c>
      <c r="J57" s="10">
        <f>XLOOKUP(DATE(A57,B57,1),料率マスタ!$A:$A,料率マスタ!$E:$E,,-1,-1)</f>
        <v/>
      </c>
      <c r="K57" s="10">
        <f>XLOOKUP(DATE(A57,B57,1),料率マスタ!$A:$A,料率マスタ!$F:$F,,-1,-1)</f>
        <v/>
      </c>
      <c r="L57" s="10">
        <f>G57+IF(D57,H57,0)</f>
        <v/>
      </c>
      <c r="M57" s="11">
        <f>E57*L57</f>
        <v/>
      </c>
      <c r="N57" s="11">
        <f>E57*K57</f>
        <v/>
      </c>
      <c r="O57" s="11">
        <f>E57*I57</f>
        <v/>
      </c>
      <c r="P57" s="11">
        <f>ROUNDDOWN(E57*J57,0)</f>
        <v/>
      </c>
      <c r="Q57" s="11">
        <f>ROUNDDOWN(ROUND(M57+N57,2),0)</f>
        <v/>
      </c>
      <c r="R57" s="11">
        <f>INT(M57/2)+IF(MOD(M57,2)&gt;1,1,0)+INT(N57/2)+IF(MOD(N57,2)&gt;1,1,0)</f>
        <v/>
      </c>
      <c r="S57" s="11">
        <f>Q57-R57</f>
        <v/>
      </c>
      <c r="T57" s="11">
        <f>ROUNDDOWN(O57,0)</f>
        <v/>
      </c>
      <c r="U57" s="11">
        <f>INT(O57/2)+IF(MOD(O57,2)&gt;1,1,0)</f>
        <v/>
      </c>
      <c r="V57" s="11">
        <f>T57-U57</f>
        <v/>
      </c>
      <c r="W57" s="11">
        <f>P57</f>
        <v/>
      </c>
      <c r="X57" s="11">
        <f>W57</f>
        <v/>
      </c>
      <c r="Y57" s="11">
        <f>R57+U57</f>
        <v/>
      </c>
      <c r="Z57" s="11">
        <f>S57+V57+X57</f>
        <v/>
      </c>
      <c r="AA57" s="11">
        <f>Q57+T57+W57</f>
        <v/>
      </c>
      <c r="AB57" s="11">
        <f>F57-Y57</f>
        <v/>
      </c>
      <c r="AC57" s="9" t="n"/>
      <c r="AD57" s="12">
        <f>IF(AC57="","",AA57-AC57)</f>
        <v/>
      </c>
    </row>
    <row r="58">
      <c r="A58" s="2" t="n">
        <v>2021</v>
      </c>
      <c r="B58" s="2" t="n">
        <v>2</v>
      </c>
      <c r="C58" s="8">
        <f>IF(設定!$B$3="","",DATEDIF(設定!$B$3,EOMONTH(DATE(A58,B58,1),0),"Y"))</f>
        <v/>
      </c>
      <c r="D58" s="8">
        <f>IF(設定!$B$3="",FALSE,AND(EOMONTH(DATE(A58,B58,1),0)&gt;=DATE(YEAR(設定!$B$3)+40,MONTH(設定!$B$3),DAY(設定!$B$3))-1,EOMONTH(DATE(A58,B58,1),0)&lt;DATE(YEAR(設定!$B$3)+65,MONTH(設定!$B$3),DAY(設定!$B$3))-1))</f>
        <v/>
      </c>
      <c r="E58" s="9" t="n">
        <v>88000</v>
      </c>
      <c r="F58" s="9" t="n">
        <v>83000</v>
      </c>
      <c r="G58" s="10">
        <f>XLOOKUP(DATE(A58,B58,1),料率マスタ!$A:$A,料率マスタ!$B:$B,,-1,-1)</f>
        <v/>
      </c>
      <c r="H58" s="10">
        <f>XLOOKUP(DATE(A58,B58,1),料率マスタ!$A:$A,料率マスタ!$C:$C,,-1,-1)</f>
        <v/>
      </c>
      <c r="I58" s="10">
        <f>XLOOKUP(DATE(A58,B58,1),料率マスタ!$A:$A,料率マスタ!$D:$D,,-1,-1)</f>
        <v/>
      </c>
      <c r="J58" s="10">
        <f>XLOOKUP(DATE(A58,B58,1),料率マスタ!$A:$A,料率マスタ!$E:$E,,-1,-1)</f>
        <v/>
      </c>
      <c r="K58" s="10">
        <f>XLOOKUP(DATE(A58,B58,1),料率マスタ!$A:$A,料率マスタ!$F:$F,,-1,-1)</f>
        <v/>
      </c>
      <c r="L58" s="10">
        <f>G58+IF(D58,H58,0)</f>
        <v/>
      </c>
      <c r="M58" s="11">
        <f>E58*L58</f>
        <v/>
      </c>
      <c r="N58" s="11">
        <f>E58*K58</f>
        <v/>
      </c>
      <c r="O58" s="11">
        <f>E58*I58</f>
        <v/>
      </c>
      <c r="P58" s="11">
        <f>ROUNDDOWN(E58*J58,0)</f>
        <v/>
      </c>
      <c r="Q58" s="11">
        <f>ROUNDDOWN(ROUND(M58+N58,2),0)</f>
        <v/>
      </c>
      <c r="R58" s="11">
        <f>INT(M58/2)+IF(MOD(M58,2)&gt;1,1,0)+INT(N58/2)+IF(MOD(N58,2)&gt;1,1,0)</f>
        <v/>
      </c>
      <c r="S58" s="11">
        <f>Q58-R58</f>
        <v/>
      </c>
      <c r="T58" s="11">
        <f>ROUNDDOWN(O58,0)</f>
        <v/>
      </c>
      <c r="U58" s="11">
        <f>INT(O58/2)+IF(MOD(O58,2)&gt;1,1,0)</f>
        <v/>
      </c>
      <c r="V58" s="11">
        <f>T58-U58</f>
        <v/>
      </c>
      <c r="W58" s="11">
        <f>P58</f>
        <v/>
      </c>
      <c r="X58" s="11">
        <f>W58</f>
        <v/>
      </c>
      <c r="Y58" s="11">
        <f>R58+U58</f>
        <v/>
      </c>
      <c r="Z58" s="11">
        <f>S58+V58+X58</f>
        <v/>
      </c>
      <c r="AA58" s="11">
        <f>Q58+T58+W58</f>
        <v/>
      </c>
      <c r="AB58" s="11">
        <f>F58-Y58</f>
        <v/>
      </c>
      <c r="AC58" s="9" t="n"/>
      <c r="AD58" s="12">
        <f>IF(AC58="","",AA58-AC58)</f>
        <v/>
      </c>
    </row>
    <row r="59">
      <c r="A59" s="2" t="n">
        <v>2021</v>
      </c>
      <c r="B59" s="2" t="n">
        <v>3</v>
      </c>
      <c r="C59" s="8">
        <f>IF(設定!$B$3="","",DATEDIF(設定!$B$3,EOMONTH(DATE(A59,B59,1),0),"Y"))</f>
        <v/>
      </c>
      <c r="D59" s="8">
        <f>IF(設定!$B$3="",FALSE,AND(EOMONTH(DATE(A59,B59,1),0)&gt;=DATE(YEAR(設定!$B$3)+40,MONTH(設定!$B$3),DAY(設定!$B$3))-1,EOMONTH(DATE(A59,B59,1),0)&lt;DATE(YEAR(設定!$B$3)+65,MONTH(設定!$B$3),DAY(設定!$B$3))-1))</f>
        <v/>
      </c>
      <c r="E59" s="9" t="n">
        <v>88000</v>
      </c>
      <c r="F59" s="9" t="n">
        <v>83000</v>
      </c>
      <c r="G59" s="10">
        <f>XLOOKUP(DATE(A59,B59,1),料率マスタ!$A:$A,料率マスタ!$B:$B,,-1,-1)</f>
        <v/>
      </c>
      <c r="H59" s="10">
        <f>XLOOKUP(DATE(A59,B59,1),料率マスタ!$A:$A,料率マスタ!$C:$C,,-1,-1)</f>
        <v/>
      </c>
      <c r="I59" s="10">
        <f>XLOOKUP(DATE(A59,B59,1),料率マスタ!$A:$A,料率マスタ!$D:$D,,-1,-1)</f>
        <v/>
      </c>
      <c r="J59" s="10">
        <f>XLOOKUP(DATE(A59,B59,1),料率マスタ!$A:$A,料率マスタ!$E:$E,,-1,-1)</f>
        <v/>
      </c>
      <c r="K59" s="10">
        <f>XLOOKUP(DATE(A59,B59,1),料率マスタ!$A:$A,料率マスタ!$F:$F,,-1,-1)</f>
        <v/>
      </c>
      <c r="L59" s="10">
        <f>G59+IF(D59,H59,0)</f>
        <v/>
      </c>
      <c r="M59" s="11">
        <f>E59*L59</f>
        <v/>
      </c>
      <c r="N59" s="11">
        <f>E59*K59</f>
        <v/>
      </c>
      <c r="O59" s="11">
        <f>E59*I59</f>
        <v/>
      </c>
      <c r="P59" s="11">
        <f>ROUNDDOWN(E59*J59,0)</f>
        <v/>
      </c>
      <c r="Q59" s="11">
        <f>ROUNDDOWN(ROUND(M59+N59,2),0)</f>
        <v/>
      </c>
      <c r="R59" s="11">
        <f>INT(M59/2)+IF(MOD(M59,2)&gt;1,1,0)+INT(N59/2)+IF(MOD(N59,2)&gt;1,1,0)</f>
        <v/>
      </c>
      <c r="S59" s="11">
        <f>Q59-R59</f>
        <v/>
      </c>
      <c r="T59" s="11">
        <f>ROUNDDOWN(O59,0)</f>
        <v/>
      </c>
      <c r="U59" s="11">
        <f>INT(O59/2)+IF(MOD(O59,2)&gt;1,1,0)</f>
        <v/>
      </c>
      <c r="V59" s="11">
        <f>T59-U59</f>
        <v/>
      </c>
      <c r="W59" s="11">
        <f>P59</f>
        <v/>
      </c>
      <c r="X59" s="11">
        <f>W59</f>
        <v/>
      </c>
      <c r="Y59" s="11">
        <f>R59+U59</f>
        <v/>
      </c>
      <c r="Z59" s="11">
        <f>S59+V59+X59</f>
        <v/>
      </c>
      <c r="AA59" s="11">
        <f>Q59+T59+W59</f>
        <v/>
      </c>
      <c r="AB59" s="11">
        <f>F59-Y59</f>
        <v/>
      </c>
      <c r="AC59" s="9" t="n"/>
      <c r="AD59" s="12">
        <f>IF(AC59="","",AA59-AC59)</f>
        <v/>
      </c>
    </row>
    <row r="60">
      <c r="A60" s="2" t="n">
        <v>2021</v>
      </c>
      <c r="B60" s="2" t="n">
        <v>4</v>
      </c>
      <c r="C60" s="8">
        <f>IF(設定!$B$3="","",DATEDIF(設定!$B$3,EOMONTH(DATE(A60,B60,1),0),"Y"))</f>
        <v/>
      </c>
      <c r="D60" s="8">
        <f>IF(設定!$B$3="",FALSE,AND(EOMONTH(DATE(A60,B60,1),0)&gt;=DATE(YEAR(設定!$B$3)+40,MONTH(設定!$B$3),DAY(設定!$B$3))-1,EOMONTH(DATE(A60,B60,1),0)&lt;DATE(YEAR(設定!$B$3)+65,MONTH(設定!$B$3),DAY(設定!$B$3))-1))</f>
        <v/>
      </c>
      <c r="E60" s="9" t="n">
        <v>88000</v>
      </c>
      <c r="F60" s="9" t="n">
        <v>83000</v>
      </c>
      <c r="G60" s="10">
        <f>XLOOKUP(DATE(A60,B60,1),料率マスタ!$A:$A,料率マスタ!$B:$B,,-1,-1)</f>
        <v/>
      </c>
      <c r="H60" s="10">
        <f>XLOOKUP(DATE(A60,B60,1),料率マスタ!$A:$A,料率マスタ!$C:$C,,-1,-1)</f>
        <v/>
      </c>
      <c r="I60" s="10">
        <f>XLOOKUP(DATE(A60,B60,1),料率マスタ!$A:$A,料率マスタ!$D:$D,,-1,-1)</f>
        <v/>
      </c>
      <c r="J60" s="10">
        <f>XLOOKUP(DATE(A60,B60,1),料率マスタ!$A:$A,料率マスタ!$E:$E,,-1,-1)</f>
        <v/>
      </c>
      <c r="K60" s="10">
        <f>XLOOKUP(DATE(A60,B60,1),料率マスタ!$A:$A,料率マスタ!$F:$F,,-1,-1)</f>
        <v/>
      </c>
      <c r="L60" s="10">
        <f>G60+IF(D60,H60,0)</f>
        <v/>
      </c>
      <c r="M60" s="11">
        <f>E60*L60</f>
        <v/>
      </c>
      <c r="N60" s="11">
        <f>E60*K60</f>
        <v/>
      </c>
      <c r="O60" s="11">
        <f>E60*I60</f>
        <v/>
      </c>
      <c r="P60" s="11">
        <f>ROUNDDOWN(E60*J60,0)</f>
        <v/>
      </c>
      <c r="Q60" s="11">
        <f>ROUNDDOWN(ROUND(M60+N60,2),0)</f>
        <v/>
      </c>
      <c r="R60" s="11">
        <f>INT(M60/2)+IF(MOD(M60,2)&gt;1,1,0)+INT(N60/2)+IF(MOD(N60,2)&gt;1,1,0)</f>
        <v/>
      </c>
      <c r="S60" s="11">
        <f>Q60-R60</f>
        <v/>
      </c>
      <c r="T60" s="11">
        <f>ROUNDDOWN(O60,0)</f>
        <v/>
      </c>
      <c r="U60" s="11">
        <f>INT(O60/2)+IF(MOD(O60,2)&gt;1,1,0)</f>
        <v/>
      </c>
      <c r="V60" s="11">
        <f>T60-U60</f>
        <v/>
      </c>
      <c r="W60" s="11">
        <f>P60</f>
        <v/>
      </c>
      <c r="X60" s="11">
        <f>W60</f>
        <v/>
      </c>
      <c r="Y60" s="11">
        <f>R60+U60</f>
        <v/>
      </c>
      <c r="Z60" s="11">
        <f>S60+V60+X60</f>
        <v/>
      </c>
      <c r="AA60" s="11">
        <f>Q60+T60+W60</f>
        <v/>
      </c>
      <c r="AB60" s="11">
        <f>F60-Y60</f>
        <v/>
      </c>
      <c r="AC60" s="9" t="n"/>
      <c r="AD60" s="12">
        <f>IF(AC60="","",AA60-AC60)</f>
        <v/>
      </c>
    </row>
    <row r="61">
      <c r="A61" s="2" t="n">
        <v>2021</v>
      </c>
      <c r="B61" s="2" t="n">
        <v>5</v>
      </c>
      <c r="C61" s="8">
        <f>IF(設定!$B$3="","",DATEDIF(設定!$B$3,EOMONTH(DATE(A61,B61,1),0),"Y"))</f>
        <v/>
      </c>
      <c r="D61" s="8">
        <f>IF(設定!$B$3="",FALSE,AND(EOMONTH(DATE(A61,B61,1),0)&gt;=DATE(YEAR(設定!$B$3)+40,MONTH(設定!$B$3),DAY(設定!$B$3))-1,EOMONTH(DATE(A61,B61,1),0)&lt;DATE(YEAR(設定!$B$3)+65,MONTH(設定!$B$3),DAY(設定!$B$3))-1))</f>
        <v/>
      </c>
      <c r="E61" s="9" t="n">
        <v>88000</v>
      </c>
      <c r="F61" s="9" t="n">
        <v>83000</v>
      </c>
      <c r="G61" s="10">
        <f>XLOOKUP(DATE(A61,B61,1),料率マスタ!$A:$A,料率マスタ!$B:$B,,-1,-1)</f>
        <v/>
      </c>
      <c r="H61" s="10">
        <f>XLOOKUP(DATE(A61,B61,1),料率マスタ!$A:$A,料率マスタ!$C:$C,,-1,-1)</f>
        <v/>
      </c>
      <c r="I61" s="10">
        <f>XLOOKUP(DATE(A61,B61,1),料率マスタ!$A:$A,料率マスタ!$D:$D,,-1,-1)</f>
        <v/>
      </c>
      <c r="J61" s="10">
        <f>XLOOKUP(DATE(A61,B61,1),料率マスタ!$A:$A,料率マスタ!$E:$E,,-1,-1)</f>
        <v/>
      </c>
      <c r="K61" s="10">
        <f>XLOOKUP(DATE(A61,B61,1),料率マスタ!$A:$A,料率マスタ!$F:$F,,-1,-1)</f>
        <v/>
      </c>
      <c r="L61" s="10">
        <f>G61+IF(D61,H61,0)</f>
        <v/>
      </c>
      <c r="M61" s="11">
        <f>E61*L61</f>
        <v/>
      </c>
      <c r="N61" s="11">
        <f>E61*K61</f>
        <v/>
      </c>
      <c r="O61" s="11">
        <f>E61*I61</f>
        <v/>
      </c>
      <c r="P61" s="11">
        <f>ROUNDDOWN(E61*J61,0)</f>
        <v/>
      </c>
      <c r="Q61" s="11">
        <f>ROUNDDOWN(ROUND(M61+N61,2),0)</f>
        <v/>
      </c>
      <c r="R61" s="11">
        <f>INT(M61/2)+IF(MOD(M61,2)&gt;1,1,0)+INT(N61/2)+IF(MOD(N61,2)&gt;1,1,0)</f>
        <v/>
      </c>
      <c r="S61" s="11">
        <f>Q61-R61</f>
        <v/>
      </c>
      <c r="T61" s="11">
        <f>ROUNDDOWN(O61,0)</f>
        <v/>
      </c>
      <c r="U61" s="11">
        <f>INT(O61/2)+IF(MOD(O61,2)&gt;1,1,0)</f>
        <v/>
      </c>
      <c r="V61" s="11">
        <f>T61-U61</f>
        <v/>
      </c>
      <c r="W61" s="11">
        <f>P61</f>
        <v/>
      </c>
      <c r="X61" s="11">
        <f>W61</f>
        <v/>
      </c>
      <c r="Y61" s="11">
        <f>R61+U61</f>
        <v/>
      </c>
      <c r="Z61" s="11">
        <f>S61+V61+X61</f>
        <v/>
      </c>
      <c r="AA61" s="11">
        <f>Q61+T61+W61</f>
        <v/>
      </c>
      <c r="AB61" s="11">
        <f>F61-Y61</f>
        <v/>
      </c>
      <c r="AC61" s="9" t="n"/>
      <c r="AD61" s="12">
        <f>IF(AC61="","",AA61-AC61)</f>
        <v/>
      </c>
    </row>
    <row r="62">
      <c r="A62" s="2" t="n">
        <v>2021</v>
      </c>
      <c r="B62" s="2" t="n">
        <v>6</v>
      </c>
      <c r="C62" s="8">
        <f>IF(設定!$B$3="","",DATEDIF(設定!$B$3,EOMONTH(DATE(A62,B62,1),0),"Y"))</f>
        <v/>
      </c>
      <c r="D62" s="8">
        <f>IF(設定!$B$3="",FALSE,AND(EOMONTH(DATE(A62,B62,1),0)&gt;=DATE(YEAR(設定!$B$3)+40,MONTH(設定!$B$3),DAY(設定!$B$3))-1,EOMONTH(DATE(A62,B62,1),0)&lt;DATE(YEAR(設定!$B$3)+65,MONTH(設定!$B$3),DAY(設定!$B$3))-1))</f>
        <v/>
      </c>
      <c r="E62" s="9" t="n">
        <v>88000</v>
      </c>
      <c r="F62" s="9" t="n">
        <v>83000</v>
      </c>
      <c r="G62" s="10">
        <f>XLOOKUP(DATE(A62,B62,1),料率マスタ!$A:$A,料率マスタ!$B:$B,,-1,-1)</f>
        <v/>
      </c>
      <c r="H62" s="10">
        <f>XLOOKUP(DATE(A62,B62,1),料率マスタ!$A:$A,料率マスタ!$C:$C,,-1,-1)</f>
        <v/>
      </c>
      <c r="I62" s="10">
        <f>XLOOKUP(DATE(A62,B62,1),料率マスタ!$A:$A,料率マスタ!$D:$D,,-1,-1)</f>
        <v/>
      </c>
      <c r="J62" s="10">
        <f>XLOOKUP(DATE(A62,B62,1),料率マスタ!$A:$A,料率マスタ!$E:$E,,-1,-1)</f>
        <v/>
      </c>
      <c r="K62" s="10">
        <f>XLOOKUP(DATE(A62,B62,1),料率マスタ!$A:$A,料率マスタ!$F:$F,,-1,-1)</f>
        <v/>
      </c>
      <c r="L62" s="10">
        <f>G62+IF(D62,H62,0)</f>
        <v/>
      </c>
      <c r="M62" s="11">
        <f>E62*L62</f>
        <v/>
      </c>
      <c r="N62" s="11">
        <f>E62*K62</f>
        <v/>
      </c>
      <c r="O62" s="11">
        <f>E62*I62</f>
        <v/>
      </c>
      <c r="P62" s="11">
        <f>ROUNDDOWN(E62*J62,0)</f>
        <v/>
      </c>
      <c r="Q62" s="11">
        <f>ROUNDDOWN(ROUND(M62+N62,2),0)</f>
        <v/>
      </c>
      <c r="R62" s="11">
        <f>INT(M62/2)+IF(MOD(M62,2)&gt;1,1,0)+INT(N62/2)+IF(MOD(N62,2)&gt;1,1,0)</f>
        <v/>
      </c>
      <c r="S62" s="11">
        <f>Q62-R62</f>
        <v/>
      </c>
      <c r="T62" s="11">
        <f>ROUNDDOWN(O62,0)</f>
        <v/>
      </c>
      <c r="U62" s="11">
        <f>INT(O62/2)+IF(MOD(O62,2)&gt;1,1,0)</f>
        <v/>
      </c>
      <c r="V62" s="11">
        <f>T62-U62</f>
        <v/>
      </c>
      <c r="W62" s="11">
        <f>P62</f>
        <v/>
      </c>
      <c r="X62" s="11">
        <f>W62</f>
        <v/>
      </c>
      <c r="Y62" s="11">
        <f>R62+U62</f>
        <v/>
      </c>
      <c r="Z62" s="11">
        <f>S62+V62+X62</f>
        <v/>
      </c>
      <c r="AA62" s="11">
        <f>Q62+T62+W62</f>
        <v/>
      </c>
      <c r="AB62" s="11">
        <f>F62-Y62</f>
        <v/>
      </c>
      <c r="AC62" s="9" t="n"/>
      <c r="AD62" s="12">
        <f>IF(AC62="","",AA62-AC62)</f>
        <v/>
      </c>
    </row>
    <row r="63">
      <c r="A63" s="2" t="n">
        <v>2021</v>
      </c>
      <c r="B63" s="2" t="n">
        <v>7</v>
      </c>
      <c r="C63" s="8">
        <f>IF(設定!$B$3="","",DATEDIF(設定!$B$3,EOMONTH(DATE(A63,B63,1),0),"Y"))</f>
        <v/>
      </c>
      <c r="D63" s="8">
        <f>IF(設定!$B$3="",FALSE,AND(EOMONTH(DATE(A63,B63,1),0)&gt;=DATE(YEAR(設定!$B$3)+40,MONTH(設定!$B$3),DAY(設定!$B$3))-1,EOMONTH(DATE(A63,B63,1),0)&lt;DATE(YEAR(設定!$B$3)+65,MONTH(設定!$B$3),DAY(設定!$B$3))-1))</f>
        <v/>
      </c>
      <c r="E63" s="9" t="n">
        <v>88000</v>
      </c>
      <c r="F63" s="9" t="n">
        <v>83000</v>
      </c>
      <c r="G63" s="10">
        <f>XLOOKUP(DATE(A63,B63,1),料率マスタ!$A:$A,料率マスタ!$B:$B,,-1,-1)</f>
        <v/>
      </c>
      <c r="H63" s="10">
        <f>XLOOKUP(DATE(A63,B63,1),料率マスタ!$A:$A,料率マスタ!$C:$C,,-1,-1)</f>
        <v/>
      </c>
      <c r="I63" s="10">
        <f>XLOOKUP(DATE(A63,B63,1),料率マスタ!$A:$A,料率マスタ!$D:$D,,-1,-1)</f>
        <v/>
      </c>
      <c r="J63" s="10">
        <f>XLOOKUP(DATE(A63,B63,1),料率マスタ!$A:$A,料率マスタ!$E:$E,,-1,-1)</f>
        <v/>
      </c>
      <c r="K63" s="10">
        <f>XLOOKUP(DATE(A63,B63,1),料率マスタ!$A:$A,料率マスタ!$F:$F,,-1,-1)</f>
        <v/>
      </c>
      <c r="L63" s="10">
        <f>G63+IF(D63,H63,0)</f>
        <v/>
      </c>
      <c r="M63" s="11">
        <f>E63*L63</f>
        <v/>
      </c>
      <c r="N63" s="11">
        <f>E63*K63</f>
        <v/>
      </c>
      <c r="O63" s="11">
        <f>E63*I63</f>
        <v/>
      </c>
      <c r="P63" s="11">
        <f>ROUNDDOWN(E63*J63,0)</f>
        <v/>
      </c>
      <c r="Q63" s="11">
        <f>ROUNDDOWN(ROUND(M63+N63,2),0)</f>
        <v/>
      </c>
      <c r="R63" s="11">
        <f>INT(M63/2)+IF(MOD(M63,2)&gt;1,1,0)+INT(N63/2)+IF(MOD(N63,2)&gt;1,1,0)</f>
        <v/>
      </c>
      <c r="S63" s="11">
        <f>Q63-R63</f>
        <v/>
      </c>
      <c r="T63" s="11">
        <f>ROUNDDOWN(O63,0)</f>
        <v/>
      </c>
      <c r="U63" s="11">
        <f>INT(O63/2)+IF(MOD(O63,2)&gt;1,1,0)</f>
        <v/>
      </c>
      <c r="V63" s="11">
        <f>T63-U63</f>
        <v/>
      </c>
      <c r="W63" s="11">
        <f>P63</f>
        <v/>
      </c>
      <c r="X63" s="11">
        <f>W63</f>
        <v/>
      </c>
      <c r="Y63" s="11">
        <f>R63+U63</f>
        <v/>
      </c>
      <c r="Z63" s="11">
        <f>S63+V63+X63</f>
        <v/>
      </c>
      <c r="AA63" s="11">
        <f>Q63+T63+W63</f>
        <v/>
      </c>
      <c r="AB63" s="11">
        <f>F63-Y63</f>
        <v/>
      </c>
      <c r="AC63" s="9" t="n"/>
      <c r="AD63" s="12">
        <f>IF(AC63="","",AA63-AC63)</f>
        <v/>
      </c>
    </row>
    <row r="64">
      <c r="A64" s="2" t="n">
        <v>2021</v>
      </c>
      <c r="B64" s="2" t="n">
        <v>8</v>
      </c>
      <c r="C64" s="8">
        <f>IF(設定!$B$3="","",DATEDIF(設定!$B$3,EOMONTH(DATE(A64,B64,1),0),"Y"))</f>
        <v/>
      </c>
      <c r="D64" s="8">
        <f>IF(設定!$B$3="",FALSE,AND(EOMONTH(DATE(A64,B64,1),0)&gt;=DATE(YEAR(設定!$B$3)+40,MONTH(設定!$B$3),DAY(設定!$B$3))-1,EOMONTH(DATE(A64,B64,1),0)&lt;DATE(YEAR(設定!$B$3)+65,MONTH(設定!$B$3),DAY(設定!$B$3))-1))</f>
        <v/>
      </c>
      <c r="E64" s="9" t="n">
        <v>88000</v>
      </c>
      <c r="F64" s="9" t="n">
        <v>83000</v>
      </c>
      <c r="G64" s="10">
        <f>XLOOKUP(DATE(A64,B64,1),料率マスタ!$A:$A,料率マスタ!$B:$B,,-1,-1)</f>
        <v/>
      </c>
      <c r="H64" s="10">
        <f>XLOOKUP(DATE(A64,B64,1),料率マスタ!$A:$A,料率マスタ!$C:$C,,-1,-1)</f>
        <v/>
      </c>
      <c r="I64" s="10">
        <f>XLOOKUP(DATE(A64,B64,1),料率マスタ!$A:$A,料率マスタ!$D:$D,,-1,-1)</f>
        <v/>
      </c>
      <c r="J64" s="10">
        <f>XLOOKUP(DATE(A64,B64,1),料率マスタ!$A:$A,料率マスタ!$E:$E,,-1,-1)</f>
        <v/>
      </c>
      <c r="K64" s="10">
        <f>XLOOKUP(DATE(A64,B64,1),料率マスタ!$A:$A,料率マスタ!$F:$F,,-1,-1)</f>
        <v/>
      </c>
      <c r="L64" s="10">
        <f>G64+IF(D64,H64,0)</f>
        <v/>
      </c>
      <c r="M64" s="11">
        <f>E64*L64</f>
        <v/>
      </c>
      <c r="N64" s="11">
        <f>E64*K64</f>
        <v/>
      </c>
      <c r="O64" s="11">
        <f>E64*I64</f>
        <v/>
      </c>
      <c r="P64" s="11">
        <f>ROUNDDOWN(E64*J64,0)</f>
        <v/>
      </c>
      <c r="Q64" s="11">
        <f>ROUNDDOWN(ROUND(M64+N64,2),0)</f>
        <v/>
      </c>
      <c r="R64" s="11">
        <f>INT(M64/2)+IF(MOD(M64,2)&gt;1,1,0)+INT(N64/2)+IF(MOD(N64,2)&gt;1,1,0)</f>
        <v/>
      </c>
      <c r="S64" s="11">
        <f>Q64-R64</f>
        <v/>
      </c>
      <c r="T64" s="11">
        <f>ROUNDDOWN(O64,0)</f>
        <v/>
      </c>
      <c r="U64" s="11">
        <f>INT(O64/2)+IF(MOD(O64,2)&gt;1,1,0)</f>
        <v/>
      </c>
      <c r="V64" s="11">
        <f>T64-U64</f>
        <v/>
      </c>
      <c r="W64" s="11">
        <f>P64</f>
        <v/>
      </c>
      <c r="X64" s="11">
        <f>W64</f>
        <v/>
      </c>
      <c r="Y64" s="11">
        <f>R64+U64</f>
        <v/>
      </c>
      <c r="Z64" s="11">
        <f>S64+V64+X64</f>
        <v/>
      </c>
      <c r="AA64" s="11">
        <f>Q64+T64+W64</f>
        <v/>
      </c>
      <c r="AB64" s="11">
        <f>F64-Y64</f>
        <v/>
      </c>
      <c r="AC64" s="9" t="n"/>
      <c r="AD64" s="12">
        <f>IF(AC64="","",AA64-AC64)</f>
        <v/>
      </c>
    </row>
    <row r="65">
      <c r="A65" s="2" t="n">
        <v>2021</v>
      </c>
      <c r="B65" s="2" t="n">
        <v>9</v>
      </c>
      <c r="C65" s="8">
        <f>IF(設定!$B$3="","",DATEDIF(設定!$B$3,EOMONTH(DATE(A65,B65,1),0),"Y"))</f>
        <v/>
      </c>
      <c r="D65" s="8">
        <f>IF(設定!$B$3="",FALSE,AND(EOMONTH(DATE(A65,B65,1),0)&gt;=DATE(YEAR(設定!$B$3)+40,MONTH(設定!$B$3),DAY(設定!$B$3))-1,EOMONTH(DATE(A65,B65,1),0)&lt;DATE(YEAR(設定!$B$3)+65,MONTH(設定!$B$3),DAY(設定!$B$3))-1))</f>
        <v/>
      </c>
      <c r="E65" s="9" t="n">
        <v>88000</v>
      </c>
      <c r="F65" s="9" t="n">
        <v>83000</v>
      </c>
      <c r="G65" s="10">
        <f>XLOOKUP(DATE(A65,B65,1),料率マスタ!$A:$A,料率マスタ!$B:$B,,-1,-1)</f>
        <v/>
      </c>
      <c r="H65" s="10">
        <f>XLOOKUP(DATE(A65,B65,1),料率マスタ!$A:$A,料率マスタ!$C:$C,,-1,-1)</f>
        <v/>
      </c>
      <c r="I65" s="10">
        <f>XLOOKUP(DATE(A65,B65,1),料率マスタ!$A:$A,料率マスタ!$D:$D,,-1,-1)</f>
        <v/>
      </c>
      <c r="J65" s="10">
        <f>XLOOKUP(DATE(A65,B65,1),料率マスタ!$A:$A,料率マスタ!$E:$E,,-1,-1)</f>
        <v/>
      </c>
      <c r="K65" s="10">
        <f>XLOOKUP(DATE(A65,B65,1),料率マスタ!$A:$A,料率マスタ!$F:$F,,-1,-1)</f>
        <v/>
      </c>
      <c r="L65" s="10">
        <f>G65+IF(D65,H65,0)</f>
        <v/>
      </c>
      <c r="M65" s="11">
        <f>E65*L65</f>
        <v/>
      </c>
      <c r="N65" s="11">
        <f>E65*K65</f>
        <v/>
      </c>
      <c r="O65" s="11">
        <f>E65*I65</f>
        <v/>
      </c>
      <c r="P65" s="11">
        <f>ROUNDDOWN(E65*J65,0)</f>
        <v/>
      </c>
      <c r="Q65" s="11">
        <f>ROUNDDOWN(ROUND(M65+N65,2),0)</f>
        <v/>
      </c>
      <c r="R65" s="11">
        <f>INT(M65/2)+IF(MOD(M65,2)&gt;1,1,0)+INT(N65/2)+IF(MOD(N65,2)&gt;1,1,0)</f>
        <v/>
      </c>
      <c r="S65" s="11">
        <f>Q65-R65</f>
        <v/>
      </c>
      <c r="T65" s="11">
        <f>ROUNDDOWN(O65,0)</f>
        <v/>
      </c>
      <c r="U65" s="11">
        <f>INT(O65/2)+IF(MOD(O65,2)&gt;1,1,0)</f>
        <v/>
      </c>
      <c r="V65" s="11">
        <f>T65-U65</f>
        <v/>
      </c>
      <c r="W65" s="11">
        <f>P65</f>
        <v/>
      </c>
      <c r="X65" s="11">
        <f>W65</f>
        <v/>
      </c>
      <c r="Y65" s="11">
        <f>R65+U65</f>
        <v/>
      </c>
      <c r="Z65" s="11">
        <f>S65+V65+X65</f>
        <v/>
      </c>
      <c r="AA65" s="11">
        <f>Q65+T65+W65</f>
        <v/>
      </c>
      <c r="AB65" s="11">
        <f>F65-Y65</f>
        <v/>
      </c>
      <c r="AC65" s="9" t="n"/>
      <c r="AD65" s="12">
        <f>IF(AC65="","",AA65-AC65)</f>
        <v/>
      </c>
    </row>
    <row r="66">
      <c r="A66" s="2" t="n">
        <v>2021</v>
      </c>
      <c r="B66" s="2" t="n">
        <v>10</v>
      </c>
      <c r="C66" s="8">
        <f>IF(設定!$B$3="","",DATEDIF(設定!$B$3,EOMONTH(DATE(A66,B66,1),0),"Y"))</f>
        <v/>
      </c>
      <c r="D66" s="8">
        <f>IF(設定!$B$3="",FALSE,AND(EOMONTH(DATE(A66,B66,1),0)&gt;=DATE(YEAR(設定!$B$3)+40,MONTH(設定!$B$3),DAY(設定!$B$3))-1,EOMONTH(DATE(A66,B66,1),0)&lt;DATE(YEAR(設定!$B$3)+65,MONTH(設定!$B$3),DAY(設定!$B$3))-1))</f>
        <v/>
      </c>
      <c r="E66" s="9" t="n">
        <v>88000</v>
      </c>
      <c r="F66" s="9" t="n">
        <v>83000</v>
      </c>
      <c r="G66" s="10">
        <f>XLOOKUP(DATE(A66,B66,1),料率マスタ!$A:$A,料率マスタ!$B:$B,,-1,-1)</f>
        <v/>
      </c>
      <c r="H66" s="10">
        <f>XLOOKUP(DATE(A66,B66,1),料率マスタ!$A:$A,料率マスタ!$C:$C,,-1,-1)</f>
        <v/>
      </c>
      <c r="I66" s="10">
        <f>XLOOKUP(DATE(A66,B66,1),料率マスタ!$A:$A,料率マスタ!$D:$D,,-1,-1)</f>
        <v/>
      </c>
      <c r="J66" s="10">
        <f>XLOOKUP(DATE(A66,B66,1),料率マスタ!$A:$A,料率マスタ!$E:$E,,-1,-1)</f>
        <v/>
      </c>
      <c r="K66" s="10">
        <f>XLOOKUP(DATE(A66,B66,1),料率マスタ!$A:$A,料率マスタ!$F:$F,,-1,-1)</f>
        <v/>
      </c>
      <c r="L66" s="10">
        <f>G66+IF(D66,H66,0)</f>
        <v/>
      </c>
      <c r="M66" s="11">
        <f>E66*L66</f>
        <v/>
      </c>
      <c r="N66" s="11">
        <f>E66*K66</f>
        <v/>
      </c>
      <c r="O66" s="11">
        <f>E66*I66</f>
        <v/>
      </c>
      <c r="P66" s="11">
        <f>ROUNDDOWN(E66*J66,0)</f>
        <v/>
      </c>
      <c r="Q66" s="11">
        <f>ROUNDDOWN(ROUND(M66+N66,2),0)</f>
        <v/>
      </c>
      <c r="R66" s="11">
        <f>INT(M66/2)+IF(MOD(M66,2)&gt;1,1,0)+INT(N66/2)+IF(MOD(N66,2)&gt;1,1,0)</f>
        <v/>
      </c>
      <c r="S66" s="11">
        <f>Q66-R66</f>
        <v/>
      </c>
      <c r="T66" s="11">
        <f>ROUNDDOWN(O66,0)</f>
        <v/>
      </c>
      <c r="U66" s="11">
        <f>INT(O66/2)+IF(MOD(O66,2)&gt;1,1,0)</f>
        <v/>
      </c>
      <c r="V66" s="11">
        <f>T66-U66</f>
        <v/>
      </c>
      <c r="W66" s="11">
        <f>P66</f>
        <v/>
      </c>
      <c r="X66" s="11">
        <f>W66</f>
        <v/>
      </c>
      <c r="Y66" s="11">
        <f>R66+U66</f>
        <v/>
      </c>
      <c r="Z66" s="11">
        <f>S66+V66+X66</f>
        <v/>
      </c>
      <c r="AA66" s="11">
        <f>Q66+T66+W66</f>
        <v/>
      </c>
      <c r="AB66" s="11">
        <f>F66-Y66</f>
        <v/>
      </c>
      <c r="AC66" s="9" t="n"/>
      <c r="AD66" s="12">
        <f>IF(AC66="","",AA66-AC66)</f>
        <v/>
      </c>
    </row>
    <row r="67">
      <c r="A67" s="2" t="n">
        <v>2021</v>
      </c>
      <c r="B67" s="2" t="n">
        <v>11</v>
      </c>
      <c r="C67" s="8">
        <f>IF(設定!$B$3="","",DATEDIF(設定!$B$3,EOMONTH(DATE(A67,B67,1),0),"Y"))</f>
        <v/>
      </c>
      <c r="D67" s="8">
        <f>IF(設定!$B$3="",FALSE,AND(EOMONTH(DATE(A67,B67,1),0)&gt;=DATE(YEAR(設定!$B$3)+40,MONTH(設定!$B$3),DAY(設定!$B$3))-1,EOMONTH(DATE(A67,B67,1),0)&lt;DATE(YEAR(設定!$B$3)+65,MONTH(設定!$B$3),DAY(設定!$B$3))-1))</f>
        <v/>
      </c>
      <c r="E67" s="9" t="n">
        <v>88000</v>
      </c>
      <c r="F67" s="9" t="n">
        <v>83000</v>
      </c>
      <c r="G67" s="10">
        <f>XLOOKUP(DATE(A67,B67,1),料率マスタ!$A:$A,料率マスタ!$B:$B,,-1,-1)</f>
        <v/>
      </c>
      <c r="H67" s="10">
        <f>XLOOKUP(DATE(A67,B67,1),料率マスタ!$A:$A,料率マスタ!$C:$C,,-1,-1)</f>
        <v/>
      </c>
      <c r="I67" s="10">
        <f>XLOOKUP(DATE(A67,B67,1),料率マスタ!$A:$A,料率マスタ!$D:$D,,-1,-1)</f>
        <v/>
      </c>
      <c r="J67" s="10">
        <f>XLOOKUP(DATE(A67,B67,1),料率マスタ!$A:$A,料率マスタ!$E:$E,,-1,-1)</f>
        <v/>
      </c>
      <c r="K67" s="10">
        <f>XLOOKUP(DATE(A67,B67,1),料率マスタ!$A:$A,料率マスタ!$F:$F,,-1,-1)</f>
        <v/>
      </c>
      <c r="L67" s="10">
        <f>G67+IF(D67,H67,0)</f>
        <v/>
      </c>
      <c r="M67" s="11">
        <f>E67*L67</f>
        <v/>
      </c>
      <c r="N67" s="11">
        <f>E67*K67</f>
        <v/>
      </c>
      <c r="O67" s="11">
        <f>E67*I67</f>
        <v/>
      </c>
      <c r="P67" s="11">
        <f>ROUNDDOWN(E67*J67,0)</f>
        <v/>
      </c>
      <c r="Q67" s="11">
        <f>ROUNDDOWN(ROUND(M67+N67,2),0)</f>
        <v/>
      </c>
      <c r="R67" s="11">
        <f>INT(M67/2)+IF(MOD(M67,2)&gt;1,1,0)+INT(N67/2)+IF(MOD(N67,2)&gt;1,1,0)</f>
        <v/>
      </c>
      <c r="S67" s="11">
        <f>Q67-R67</f>
        <v/>
      </c>
      <c r="T67" s="11">
        <f>ROUNDDOWN(O67,0)</f>
        <v/>
      </c>
      <c r="U67" s="11">
        <f>INT(O67/2)+IF(MOD(O67,2)&gt;1,1,0)</f>
        <v/>
      </c>
      <c r="V67" s="11">
        <f>T67-U67</f>
        <v/>
      </c>
      <c r="W67" s="11">
        <f>P67</f>
        <v/>
      </c>
      <c r="X67" s="11">
        <f>W67</f>
        <v/>
      </c>
      <c r="Y67" s="11">
        <f>R67+U67</f>
        <v/>
      </c>
      <c r="Z67" s="11">
        <f>S67+V67+X67</f>
        <v/>
      </c>
      <c r="AA67" s="11">
        <f>Q67+T67+W67</f>
        <v/>
      </c>
      <c r="AB67" s="11">
        <f>F67-Y67</f>
        <v/>
      </c>
      <c r="AC67" s="9" t="n"/>
      <c r="AD67" s="12">
        <f>IF(AC67="","",AA67-AC67)</f>
        <v/>
      </c>
    </row>
    <row r="68">
      <c r="A68" s="2" t="n">
        <v>2021</v>
      </c>
      <c r="B68" s="2" t="n">
        <v>12</v>
      </c>
      <c r="C68" s="8">
        <f>IF(設定!$B$3="","",DATEDIF(設定!$B$3,EOMONTH(DATE(A68,B68,1),0),"Y"))</f>
        <v/>
      </c>
      <c r="D68" s="8">
        <f>IF(設定!$B$3="",FALSE,AND(EOMONTH(DATE(A68,B68,1),0)&gt;=DATE(YEAR(設定!$B$3)+40,MONTH(設定!$B$3),DAY(設定!$B$3))-1,EOMONTH(DATE(A68,B68,1),0)&lt;DATE(YEAR(設定!$B$3)+65,MONTH(設定!$B$3),DAY(設定!$B$3))-1))</f>
        <v/>
      </c>
      <c r="E68" s="9" t="n">
        <v>88000</v>
      </c>
      <c r="F68" s="9" t="n">
        <v>83000</v>
      </c>
      <c r="G68" s="10">
        <f>XLOOKUP(DATE(A68,B68,1),料率マスタ!$A:$A,料率マスタ!$B:$B,,-1,-1)</f>
        <v/>
      </c>
      <c r="H68" s="10">
        <f>XLOOKUP(DATE(A68,B68,1),料率マスタ!$A:$A,料率マスタ!$C:$C,,-1,-1)</f>
        <v/>
      </c>
      <c r="I68" s="10">
        <f>XLOOKUP(DATE(A68,B68,1),料率マスタ!$A:$A,料率マスタ!$D:$D,,-1,-1)</f>
        <v/>
      </c>
      <c r="J68" s="10">
        <f>XLOOKUP(DATE(A68,B68,1),料率マスタ!$A:$A,料率マスタ!$E:$E,,-1,-1)</f>
        <v/>
      </c>
      <c r="K68" s="10">
        <f>XLOOKUP(DATE(A68,B68,1),料率マスタ!$A:$A,料率マスタ!$F:$F,,-1,-1)</f>
        <v/>
      </c>
      <c r="L68" s="10">
        <f>G68+IF(D68,H68,0)</f>
        <v/>
      </c>
      <c r="M68" s="11">
        <f>E68*L68</f>
        <v/>
      </c>
      <c r="N68" s="11">
        <f>E68*K68</f>
        <v/>
      </c>
      <c r="O68" s="11">
        <f>E68*I68</f>
        <v/>
      </c>
      <c r="P68" s="11">
        <f>ROUNDDOWN(E68*J68,0)</f>
        <v/>
      </c>
      <c r="Q68" s="11">
        <f>ROUNDDOWN(ROUND(M68+N68,2),0)</f>
        <v/>
      </c>
      <c r="R68" s="11">
        <f>INT(M68/2)+IF(MOD(M68,2)&gt;1,1,0)+INT(N68/2)+IF(MOD(N68,2)&gt;1,1,0)</f>
        <v/>
      </c>
      <c r="S68" s="11">
        <f>Q68-R68</f>
        <v/>
      </c>
      <c r="T68" s="11">
        <f>ROUNDDOWN(O68,0)</f>
        <v/>
      </c>
      <c r="U68" s="11">
        <f>INT(O68/2)+IF(MOD(O68,2)&gt;1,1,0)</f>
        <v/>
      </c>
      <c r="V68" s="11">
        <f>T68-U68</f>
        <v/>
      </c>
      <c r="W68" s="11">
        <f>P68</f>
        <v/>
      </c>
      <c r="X68" s="11">
        <f>W68</f>
        <v/>
      </c>
      <c r="Y68" s="11">
        <f>R68+U68</f>
        <v/>
      </c>
      <c r="Z68" s="11">
        <f>S68+V68+X68</f>
        <v/>
      </c>
      <c r="AA68" s="11">
        <f>Q68+T68+W68</f>
        <v/>
      </c>
      <c r="AB68" s="11">
        <f>F68-Y68</f>
        <v/>
      </c>
      <c r="AC68" s="9" t="n"/>
      <c r="AD68" s="12">
        <f>IF(AC68="","",AA68-AC68)</f>
        <v/>
      </c>
    </row>
    <row r="69">
      <c r="A69" s="2" t="n">
        <v>2022</v>
      </c>
      <c r="B69" s="2" t="n">
        <v>1</v>
      </c>
      <c r="C69" s="8">
        <f>IF(設定!$B$3="","",DATEDIF(設定!$B$3,EOMONTH(DATE(A69,B69,1),0),"Y"))</f>
        <v/>
      </c>
      <c r="D69" s="8">
        <f>IF(設定!$B$3="",FALSE,AND(EOMONTH(DATE(A69,B69,1),0)&gt;=DATE(YEAR(設定!$B$3)+40,MONTH(設定!$B$3),DAY(設定!$B$3))-1,EOMONTH(DATE(A69,B69,1),0)&lt;DATE(YEAR(設定!$B$3)+65,MONTH(設定!$B$3),DAY(設定!$B$3))-1))</f>
        <v/>
      </c>
      <c r="E69" s="9" t="n">
        <v>88000</v>
      </c>
      <c r="F69" s="9" t="n">
        <v>83000</v>
      </c>
      <c r="G69" s="10">
        <f>XLOOKUP(DATE(A69,B69,1),料率マスタ!$A:$A,料率マスタ!$B:$B,,-1,-1)</f>
        <v/>
      </c>
      <c r="H69" s="10">
        <f>XLOOKUP(DATE(A69,B69,1),料率マスタ!$A:$A,料率マスタ!$C:$C,,-1,-1)</f>
        <v/>
      </c>
      <c r="I69" s="10">
        <f>XLOOKUP(DATE(A69,B69,1),料率マスタ!$A:$A,料率マスタ!$D:$D,,-1,-1)</f>
        <v/>
      </c>
      <c r="J69" s="10">
        <f>XLOOKUP(DATE(A69,B69,1),料率マスタ!$A:$A,料率マスタ!$E:$E,,-1,-1)</f>
        <v/>
      </c>
      <c r="K69" s="10">
        <f>XLOOKUP(DATE(A69,B69,1),料率マスタ!$A:$A,料率マスタ!$F:$F,,-1,-1)</f>
        <v/>
      </c>
      <c r="L69" s="10">
        <f>G69+IF(D69,H69,0)</f>
        <v/>
      </c>
      <c r="M69" s="11">
        <f>E69*L69</f>
        <v/>
      </c>
      <c r="N69" s="11">
        <f>E69*K69</f>
        <v/>
      </c>
      <c r="O69" s="11">
        <f>E69*I69</f>
        <v/>
      </c>
      <c r="P69" s="11">
        <f>ROUNDDOWN(E69*J69,0)</f>
        <v/>
      </c>
      <c r="Q69" s="11">
        <f>ROUNDDOWN(ROUND(M69+N69,2),0)</f>
        <v/>
      </c>
      <c r="R69" s="11">
        <f>INT(M69/2)+IF(MOD(M69,2)&gt;1,1,0)+INT(N69/2)+IF(MOD(N69,2)&gt;1,1,0)</f>
        <v/>
      </c>
      <c r="S69" s="11">
        <f>Q69-R69</f>
        <v/>
      </c>
      <c r="T69" s="11">
        <f>ROUNDDOWN(O69,0)</f>
        <v/>
      </c>
      <c r="U69" s="11">
        <f>INT(O69/2)+IF(MOD(O69,2)&gt;1,1,0)</f>
        <v/>
      </c>
      <c r="V69" s="11">
        <f>T69-U69</f>
        <v/>
      </c>
      <c r="W69" s="11">
        <f>P69</f>
        <v/>
      </c>
      <c r="X69" s="11">
        <f>W69</f>
        <v/>
      </c>
      <c r="Y69" s="11">
        <f>R69+U69</f>
        <v/>
      </c>
      <c r="Z69" s="11">
        <f>S69+V69+X69</f>
        <v/>
      </c>
      <c r="AA69" s="11">
        <f>Q69+T69+W69</f>
        <v/>
      </c>
      <c r="AB69" s="11">
        <f>F69-Y69</f>
        <v/>
      </c>
      <c r="AC69" s="9" t="n"/>
      <c r="AD69" s="12">
        <f>IF(AC69="","",AA69-AC69)</f>
        <v/>
      </c>
    </row>
    <row r="70">
      <c r="A70" s="2" t="n">
        <v>2022</v>
      </c>
      <c r="B70" s="2" t="n">
        <v>2</v>
      </c>
      <c r="C70" s="8">
        <f>IF(設定!$B$3="","",DATEDIF(設定!$B$3,EOMONTH(DATE(A70,B70,1),0),"Y"))</f>
        <v/>
      </c>
      <c r="D70" s="8">
        <f>IF(設定!$B$3="",FALSE,AND(EOMONTH(DATE(A70,B70,1),0)&gt;=DATE(YEAR(設定!$B$3)+40,MONTH(設定!$B$3),DAY(設定!$B$3))-1,EOMONTH(DATE(A70,B70,1),0)&lt;DATE(YEAR(設定!$B$3)+65,MONTH(設定!$B$3),DAY(設定!$B$3))-1))</f>
        <v/>
      </c>
      <c r="E70" s="9" t="n">
        <v>88000</v>
      </c>
      <c r="F70" s="9" t="n">
        <v>83000</v>
      </c>
      <c r="G70" s="10">
        <f>XLOOKUP(DATE(A70,B70,1),料率マスタ!$A:$A,料率マスタ!$B:$B,,-1,-1)</f>
        <v/>
      </c>
      <c r="H70" s="10">
        <f>XLOOKUP(DATE(A70,B70,1),料率マスタ!$A:$A,料率マスタ!$C:$C,,-1,-1)</f>
        <v/>
      </c>
      <c r="I70" s="10">
        <f>XLOOKUP(DATE(A70,B70,1),料率マスタ!$A:$A,料率マスタ!$D:$D,,-1,-1)</f>
        <v/>
      </c>
      <c r="J70" s="10">
        <f>XLOOKUP(DATE(A70,B70,1),料率マスタ!$A:$A,料率マスタ!$E:$E,,-1,-1)</f>
        <v/>
      </c>
      <c r="K70" s="10">
        <f>XLOOKUP(DATE(A70,B70,1),料率マスタ!$A:$A,料率マスタ!$F:$F,,-1,-1)</f>
        <v/>
      </c>
      <c r="L70" s="10">
        <f>G70+IF(D70,H70,0)</f>
        <v/>
      </c>
      <c r="M70" s="11">
        <f>E70*L70</f>
        <v/>
      </c>
      <c r="N70" s="11">
        <f>E70*K70</f>
        <v/>
      </c>
      <c r="O70" s="11">
        <f>E70*I70</f>
        <v/>
      </c>
      <c r="P70" s="11">
        <f>ROUNDDOWN(E70*J70,0)</f>
        <v/>
      </c>
      <c r="Q70" s="11">
        <f>ROUNDDOWN(ROUND(M70+N70,2),0)</f>
        <v/>
      </c>
      <c r="R70" s="11">
        <f>INT(M70/2)+IF(MOD(M70,2)&gt;1,1,0)+INT(N70/2)+IF(MOD(N70,2)&gt;1,1,0)</f>
        <v/>
      </c>
      <c r="S70" s="11">
        <f>Q70-R70</f>
        <v/>
      </c>
      <c r="T70" s="11">
        <f>ROUNDDOWN(O70,0)</f>
        <v/>
      </c>
      <c r="U70" s="11">
        <f>INT(O70/2)+IF(MOD(O70,2)&gt;1,1,0)</f>
        <v/>
      </c>
      <c r="V70" s="11">
        <f>T70-U70</f>
        <v/>
      </c>
      <c r="W70" s="11">
        <f>P70</f>
        <v/>
      </c>
      <c r="X70" s="11">
        <f>W70</f>
        <v/>
      </c>
      <c r="Y70" s="11">
        <f>R70+U70</f>
        <v/>
      </c>
      <c r="Z70" s="11">
        <f>S70+V70+X70</f>
        <v/>
      </c>
      <c r="AA70" s="11">
        <f>Q70+T70+W70</f>
        <v/>
      </c>
      <c r="AB70" s="11">
        <f>F70-Y70</f>
        <v/>
      </c>
      <c r="AC70" s="9" t="n"/>
      <c r="AD70" s="12">
        <f>IF(AC70="","",AA70-AC70)</f>
        <v/>
      </c>
    </row>
    <row r="71">
      <c r="A71" s="2" t="n">
        <v>2022</v>
      </c>
      <c r="B71" s="2" t="n">
        <v>3</v>
      </c>
      <c r="C71" s="8">
        <f>IF(設定!$B$3="","",DATEDIF(設定!$B$3,EOMONTH(DATE(A71,B71,1),0),"Y"))</f>
        <v/>
      </c>
      <c r="D71" s="8">
        <f>IF(設定!$B$3="",FALSE,AND(EOMONTH(DATE(A71,B71,1),0)&gt;=DATE(YEAR(設定!$B$3)+40,MONTH(設定!$B$3),DAY(設定!$B$3))-1,EOMONTH(DATE(A71,B71,1),0)&lt;DATE(YEAR(設定!$B$3)+65,MONTH(設定!$B$3),DAY(設定!$B$3))-1))</f>
        <v/>
      </c>
      <c r="E71" s="9" t="n">
        <v>88000</v>
      </c>
      <c r="F71" s="9" t="n">
        <v>83000</v>
      </c>
      <c r="G71" s="10">
        <f>XLOOKUP(DATE(A71,B71,1),料率マスタ!$A:$A,料率マスタ!$B:$B,,-1,-1)</f>
        <v/>
      </c>
      <c r="H71" s="10">
        <f>XLOOKUP(DATE(A71,B71,1),料率マスタ!$A:$A,料率マスタ!$C:$C,,-1,-1)</f>
        <v/>
      </c>
      <c r="I71" s="10">
        <f>XLOOKUP(DATE(A71,B71,1),料率マスタ!$A:$A,料率マスタ!$D:$D,,-1,-1)</f>
        <v/>
      </c>
      <c r="J71" s="10">
        <f>XLOOKUP(DATE(A71,B71,1),料率マスタ!$A:$A,料率マスタ!$E:$E,,-1,-1)</f>
        <v/>
      </c>
      <c r="K71" s="10">
        <f>XLOOKUP(DATE(A71,B71,1),料率マスタ!$A:$A,料率マスタ!$F:$F,,-1,-1)</f>
        <v/>
      </c>
      <c r="L71" s="10">
        <f>G71+IF(D71,H71,0)</f>
        <v/>
      </c>
      <c r="M71" s="11">
        <f>E71*L71</f>
        <v/>
      </c>
      <c r="N71" s="11">
        <f>E71*K71</f>
        <v/>
      </c>
      <c r="O71" s="11">
        <f>E71*I71</f>
        <v/>
      </c>
      <c r="P71" s="11">
        <f>ROUNDDOWN(E71*J71,0)</f>
        <v/>
      </c>
      <c r="Q71" s="11">
        <f>ROUNDDOWN(ROUND(M71+N71,2),0)</f>
        <v/>
      </c>
      <c r="R71" s="11">
        <f>INT(M71/2)+IF(MOD(M71,2)&gt;1,1,0)+INT(N71/2)+IF(MOD(N71,2)&gt;1,1,0)</f>
        <v/>
      </c>
      <c r="S71" s="11">
        <f>Q71-R71</f>
        <v/>
      </c>
      <c r="T71" s="11">
        <f>ROUNDDOWN(O71,0)</f>
        <v/>
      </c>
      <c r="U71" s="11">
        <f>INT(O71/2)+IF(MOD(O71,2)&gt;1,1,0)</f>
        <v/>
      </c>
      <c r="V71" s="11">
        <f>T71-U71</f>
        <v/>
      </c>
      <c r="W71" s="11">
        <f>P71</f>
        <v/>
      </c>
      <c r="X71" s="11">
        <f>W71</f>
        <v/>
      </c>
      <c r="Y71" s="11">
        <f>R71+U71</f>
        <v/>
      </c>
      <c r="Z71" s="11">
        <f>S71+V71+X71</f>
        <v/>
      </c>
      <c r="AA71" s="11">
        <f>Q71+T71+W71</f>
        <v/>
      </c>
      <c r="AB71" s="11">
        <f>F71-Y71</f>
        <v/>
      </c>
      <c r="AC71" s="9" t="n"/>
      <c r="AD71" s="12">
        <f>IF(AC71="","",AA71-AC71)</f>
        <v/>
      </c>
    </row>
    <row r="72">
      <c r="A72" s="2" t="n">
        <v>2022</v>
      </c>
      <c r="B72" s="2" t="n">
        <v>4</v>
      </c>
      <c r="C72" s="8">
        <f>IF(設定!$B$3="","",DATEDIF(設定!$B$3,EOMONTH(DATE(A72,B72,1),0),"Y"))</f>
        <v/>
      </c>
      <c r="D72" s="8">
        <f>IF(設定!$B$3="",FALSE,AND(EOMONTH(DATE(A72,B72,1),0)&gt;=DATE(YEAR(設定!$B$3)+40,MONTH(設定!$B$3),DAY(設定!$B$3))-1,EOMONTH(DATE(A72,B72,1),0)&lt;DATE(YEAR(設定!$B$3)+65,MONTH(設定!$B$3),DAY(設定!$B$3))-1))</f>
        <v/>
      </c>
      <c r="E72" s="9" t="n">
        <v>88000</v>
      </c>
      <c r="F72" s="9" t="n">
        <v>83000</v>
      </c>
      <c r="G72" s="10">
        <f>XLOOKUP(DATE(A72,B72,1),料率マスタ!$A:$A,料率マスタ!$B:$B,,-1,-1)</f>
        <v/>
      </c>
      <c r="H72" s="10">
        <f>XLOOKUP(DATE(A72,B72,1),料率マスタ!$A:$A,料率マスタ!$C:$C,,-1,-1)</f>
        <v/>
      </c>
      <c r="I72" s="10">
        <f>XLOOKUP(DATE(A72,B72,1),料率マスタ!$A:$A,料率マスタ!$D:$D,,-1,-1)</f>
        <v/>
      </c>
      <c r="J72" s="10">
        <f>XLOOKUP(DATE(A72,B72,1),料率マスタ!$A:$A,料率マスタ!$E:$E,,-1,-1)</f>
        <v/>
      </c>
      <c r="K72" s="10">
        <f>XLOOKUP(DATE(A72,B72,1),料率マスタ!$A:$A,料率マスタ!$F:$F,,-1,-1)</f>
        <v/>
      </c>
      <c r="L72" s="10">
        <f>G72+IF(D72,H72,0)</f>
        <v/>
      </c>
      <c r="M72" s="11">
        <f>E72*L72</f>
        <v/>
      </c>
      <c r="N72" s="11">
        <f>E72*K72</f>
        <v/>
      </c>
      <c r="O72" s="11">
        <f>E72*I72</f>
        <v/>
      </c>
      <c r="P72" s="11">
        <f>ROUNDDOWN(E72*J72,0)</f>
        <v/>
      </c>
      <c r="Q72" s="11">
        <f>ROUNDDOWN(ROUND(M72+N72,2),0)</f>
        <v/>
      </c>
      <c r="R72" s="11">
        <f>INT(M72/2)+IF(MOD(M72,2)&gt;1,1,0)+INT(N72/2)+IF(MOD(N72,2)&gt;1,1,0)</f>
        <v/>
      </c>
      <c r="S72" s="11">
        <f>Q72-R72</f>
        <v/>
      </c>
      <c r="T72" s="11">
        <f>ROUNDDOWN(O72,0)</f>
        <v/>
      </c>
      <c r="U72" s="11">
        <f>INT(O72/2)+IF(MOD(O72,2)&gt;1,1,0)</f>
        <v/>
      </c>
      <c r="V72" s="11">
        <f>T72-U72</f>
        <v/>
      </c>
      <c r="W72" s="11">
        <f>P72</f>
        <v/>
      </c>
      <c r="X72" s="11">
        <f>W72</f>
        <v/>
      </c>
      <c r="Y72" s="11">
        <f>R72+U72</f>
        <v/>
      </c>
      <c r="Z72" s="11">
        <f>S72+V72+X72</f>
        <v/>
      </c>
      <c r="AA72" s="11">
        <f>Q72+T72+W72</f>
        <v/>
      </c>
      <c r="AB72" s="11">
        <f>F72-Y72</f>
        <v/>
      </c>
      <c r="AC72" s="9" t="n"/>
      <c r="AD72" s="12">
        <f>IF(AC72="","",AA72-AC72)</f>
        <v/>
      </c>
    </row>
    <row r="73">
      <c r="A73" s="2" t="n">
        <v>2022</v>
      </c>
      <c r="B73" s="2" t="n">
        <v>5</v>
      </c>
      <c r="C73" s="8">
        <f>IF(設定!$B$3="","",DATEDIF(設定!$B$3,EOMONTH(DATE(A73,B73,1),0),"Y"))</f>
        <v/>
      </c>
      <c r="D73" s="8">
        <f>IF(設定!$B$3="",FALSE,AND(EOMONTH(DATE(A73,B73,1),0)&gt;=DATE(YEAR(設定!$B$3)+40,MONTH(設定!$B$3),DAY(設定!$B$3))-1,EOMONTH(DATE(A73,B73,1),0)&lt;DATE(YEAR(設定!$B$3)+65,MONTH(設定!$B$3),DAY(設定!$B$3))-1))</f>
        <v/>
      </c>
      <c r="E73" s="9" t="n">
        <v>88000</v>
      </c>
      <c r="F73" s="9" t="n">
        <v>83000</v>
      </c>
      <c r="G73" s="10">
        <f>XLOOKUP(DATE(A73,B73,1),料率マスタ!$A:$A,料率マスタ!$B:$B,,-1,-1)</f>
        <v/>
      </c>
      <c r="H73" s="10">
        <f>XLOOKUP(DATE(A73,B73,1),料率マスタ!$A:$A,料率マスタ!$C:$C,,-1,-1)</f>
        <v/>
      </c>
      <c r="I73" s="10">
        <f>XLOOKUP(DATE(A73,B73,1),料率マスタ!$A:$A,料率マスタ!$D:$D,,-1,-1)</f>
        <v/>
      </c>
      <c r="J73" s="10">
        <f>XLOOKUP(DATE(A73,B73,1),料率マスタ!$A:$A,料率マスタ!$E:$E,,-1,-1)</f>
        <v/>
      </c>
      <c r="K73" s="10">
        <f>XLOOKUP(DATE(A73,B73,1),料率マスタ!$A:$A,料率マスタ!$F:$F,,-1,-1)</f>
        <v/>
      </c>
      <c r="L73" s="10">
        <f>G73+IF(D73,H73,0)</f>
        <v/>
      </c>
      <c r="M73" s="11">
        <f>E73*L73</f>
        <v/>
      </c>
      <c r="N73" s="11">
        <f>E73*K73</f>
        <v/>
      </c>
      <c r="O73" s="11">
        <f>E73*I73</f>
        <v/>
      </c>
      <c r="P73" s="11">
        <f>ROUNDDOWN(E73*J73,0)</f>
        <v/>
      </c>
      <c r="Q73" s="11">
        <f>ROUNDDOWN(ROUND(M73+N73,2),0)</f>
        <v/>
      </c>
      <c r="R73" s="11">
        <f>INT(M73/2)+IF(MOD(M73,2)&gt;1,1,0)+INT(N73/2)+IF(MOD(N73,2)&gt;1,1,0)</f>
        <v/>
      </c>
      <c r="S73" s="11">
        <f>Q73-R73</f>
        <v/>
      </c>
      <c r="T73" s="11">
        <f>ROUNDDOWN(O73,0)</f>
        <v/>
      </c>
      <c r="U73" s="11">
        <f>INT(O73/2)+IF(MOD(O73,2)&gt;1,1,0)</f>
        <v/>
      </c>
      <c r="V73" s="11">
        <f>T73-U73</f>
        <v/>
      </c>
      <c r="W73" s="11">
        <f>P73</f>
        <v/>
      </c>
      <c r="X73" s="11">
        <f>W73</f>
        <v/>
      </c>
      <c r="Y73" s="11">
        <f>R73+U73</f>
        <v/>
      </c>
      <c r="Z73" s="11">
        <f>S73+V73+X73</f>
        <v/>
      </c>
      <c r="AA73" s="11">
        <f>Q73+T73+W73</f>
        <v/>
      </c>
      <c r="AB73" s="11">
        <f>F73-Y73</f>
        <v/>
      </c>
      <c r="AC73" s="9" t="n"/>
      <c r="AD73" s="12">
        <f>IF(AC73="","",AA73-AC73)</f>
        <v/>
      </c>
    </row>
    <row r="74">
      <c r="A74" s="2" t="n">
        <v>2022</v>
      </c>
      <c r="B74" s="2" t="n">
        <v>6</v>
      </c>
      <c r="C74" s="8">
        <f>IF(設定!$B$3="","",DATEDIF(設定!$B$3,EOMONTH(DATE(A74,B74,1),0),"Y"))</f>
        <v/>
      </c>
      <c r="D74" s="8">
        <f>IF(設定!$B$3="",FALSE,AND(EOMONTH(DATE(A74,B74,1),0)&gt;=DATE(YEAR(設定!$B$3)+40,MONTH(設定!$B$3),DAY(設定!$B$3))-1,EOMONTH(DATE(A74,B74,1),0)&lt;DATE(YEAR(設定!$B$3)+65,MONTH(設定!$B$3),DAY(設定!$B$3))-1))</f>
        <v/>
      </c>
      <c r="E74" s="9" t="n">
        <v>88000</v>
      </c>
      <c r="F74" s="9" t="n">
        <v>83000</v>
      </c>
      <c r="G74" s="10">
        <f>XLOOKUP(DATE(A74,B74,1),料率マスタ!$A:$A,料率マスタ!$B:$B,,-1,-1)</f>
        <v/>
      </c>
      <c r="H74" s="10">
        <f>XLOOKUP(DATE(A74,B74,1),料率マスタ!$A:$A,料率マスタ!$C:$C,,-1,-1)</f>
        <v/>
      </c>
      <c r="I74" s="10">
        <f>XLOOKUP(DATE(A74,B74,1),料率マスタ!$A:$A,料率マスタ!$D:$D,,-1,-1)</f>
        <v/>
      </c>
      <c r="J74" s="10">
        <f>XLOOKUP(DATE(A74,B74,1),料率マスタ!$A:$A,料率マスタ!$E:$E,,-1,-1)</f>
        <v/>
      </c>
      <c r="K74" s="10">
        <f>XLOOKUP(DATE(A74,B74,1),料率マスタ!$A:$A,料率マスタ!$F:$F,,-1,-1)</f>
        <v/>
      </c>
      <c r="L74" s="10">
        <f>G74+IF(D74,H74,0)</f>
        <v/>
      </c>
      <c r="M74" s="11">
        <f>E74*L74</f>
        <v/>
      </c>
      <c r="N74" s="11">
        <f>E74*K74</f>
        <v/>
      </c>
      <c r="O74" s="11">
        <f>E74*I74</f>
        <v/>
      </c>
      <c r="P74" s="11">
        <f>ROUNDDOWN(E74*J74,0)</f>
        <v/>
      </c>
      <c r="Q74" s="11">
        <f>ROUNDDOWN(ROUND(M74+N74,2),0)</f>
        <v/>
      </c>
      <c r="R74" s="11">
        <f>INT(M74/2)+IF(MOD(M74,2)&gt;1,1,0)+INT(N74/2)+IF(MOD(N74,2)&gt;1,1,0)</f>
        <v/>
      </c>
      <c r="S74" s="11">
        <f>Q74-R74</f>
        <v/>
      </c>
      <c r="T74" s="11">
        <f>ROUNDDOWN(O74,0)</f>
        <v/>
      </c>
      <c r="U74" s="11">
        <f>INT(O74/2)+IF(MOD(O74,2)&gt;1,1,0)</f>
        <v/>
      </c>
      <c r="V74" s="11">
        <f>T74-U74</f>
        <v/>
      </c>
      <c r="W74" s="11">
        <f>P74</f>
        <v/>
      </c>
      <c r="X74" s="11">
        <f>W74</f>
        <v/>
      </c>
      <c r="Y74" s="11">
        <f>R74+U74</f>
        <v/>
      </c>
      <c r="Z74" s="11">
        <f>S74+V74+X74</f>
        <v/>
      </c>
      <c r="AA74" s="11">
        <f>Q74+T74+W74</f>
        <v/>
      </c>
      <c r="AB74" s="11">
        <f>F74-Y74</f>
        <v/>
      </c>
      <c r="AC74" s="9" t="n"/>
      <c r="AD74" s="12">
        <f>IF(AC74="","",AA74-AC74)</f>
        <v/>
      </c>
    </row>
    <row r="75">
      <c r="A75" s="2" t="n">
        <v>2022</v>
      </c>
      <c r="B75" s="2" t="n">
        <v>7</v>
      </c>
      <c r="C75" s="8">
        <f>IF(設定!$B$3="","",DATEDIF(設定!$B$3,EOMONTH(DATE(A75,B75,1),0),"Y"))</f>
        <v/>
      </c>
      <c r="D75" s="8">
        <f>IF(設定!$B$3="",FALSE,AND(EOMONTH(DATE(A75,B75,1),0)&gt;=DATE(YEAR(設定!$B$3)+40,MONTH(設定!$B$3),DAY(設定!$B$3))-1,EOMONTH(DATE(A75,B75,1),0)&lt;DATE(YEAR(設定!$B$3)+65,MONTH(設定!$B$3),DAY(設定!$B$3))-1))</f>
        <v/>
      </c>
      <c r="E75" s="9" t="n">
        <v>88000</v>
      </c>
      <c r="F75" s="9" t="n">
        <v>83000</v>
      </c>
      <c r="G75" s="10">
        <f>XLOOKUP(DATE(A75,B75,1),料率マスタ!$A:$A,料率マスタ!$B:$B,,-1,-1)</f>
        <v/>
      </c>
      <c r="H75" s="10">
        <f>XLOOKUP(DATE(A75,B75,1),料率マスタ!$A:$A,料率マスタ!$C:$C,,-1,-1)</f>
        <v/>
      </c>
      <c r="I75" s="10">
        <f>XLOOKUP(DATE(A75,B75,1),料率マスタ!$A:$A,料率マスタ!$D:$D,,-1,-1)</f>
        <v/>
      </c>
      <c r="J75" s="10">
        <f>XLOOKUP(DATE(A75,B75,1),料率マスタ!$A:$A,料率マスタ!$E:$E,,-1,-1)</f>
        <v/>
      </c>
      <c r="K75" s="10">
        <f>XLOOKUP(DATE(A75,B75,1),料率マスタ!$A:$A,料率マスタ!$F:$F,,-1,-1)</f>
        <v/>
      </c>
      <c r="L75" s="10">
        <f>G75+IF(D75,H75,0)</f>
        <v/>
      </c>
      <c r="M75" s="11">
        <f>E75*L75</f>
        <v/>
      </c>
      <c r="N75" s="11">
        <f>E75*K75</f>
        <v/>
      </c>
      <c r="O75" s="11">
        <f>E75*I75</f>
        <v/>
      </c>
      <c r="P75" s="11">
        <f>ROUNDDOWN(E75*J75,0)</f>
        <v/>
      </c>
      <c r="Q75" s="11">
        <f>ROUNDDOWN(ROUND(M75+N75,2),0)</f>
        <v/>
      </c>
      <c r="R75" s="11">
        <f>INT(M75/2)+IF(MOD(M75,2)&gt;1,1,0)+INT(N75/2)+IF(MOD(N75,2)&gt;1,1,0)</f>
        <v/>
      </c>
      <c r="S75" s="11">
        <f>Q75-R75</f>
        <v/>
      </c>
      <c r="T75" s="11">
        <f>ROUNDDOWN(O75,0)</f>
        <v/>
      </c>
      <c r="U75" s="11">
        <f>INT(O75/2)+IF(MOD(O75,2)&gt;1,1,0)</f>
        <v/>
      </c>
      <c r="V75" s="11">
        <f>T75-U75</f>
        <v/>
      </c>
      <c r="W75" s="11">
        <f>P75</f>
        <v/>
      </c>
      <c r="X75" s="11">
        <f>W75</f>
        <v/>
      </c>
      <c r="Y75" s="11">
        <f>R75+U75</f>
        <v/>
      </c>
      <c r="Z75" s="11">
        <f>S75+V75+X75</f>
        <v/>
      </c>
      <c r="AA75" s="11">
        <f>Q75+T75+W75</f>
        <v/>
      </c>
      <c r="AB75" s="11">
        <f>F75-Y75</f>
        <v/>
      </c>
      <c r="AC75" s="9" t="n"/>
      <c r="AD75" s="12">
        <f>IF(AC75="","",AA75-AC75)</f>
        <v/>
      </c>
    </row>
    <row r="76">
      <c r="A76" s="2" t="n">
        <v>2022</v>
      </c>
      <c r="B76" s="2" t="n">
        <v>8</v>
      </c>
      <c r="C76" s="8">
        <f>IF(設定!$B$3="","",DATEDIF(設定!$B$3,EOMONTH(DATE(A76,B76,1),0),"Y"))</f>
        <v/>
      </c>
      <c r="D76" s="8">
        <f>IF(設定!$B$3="",FALSE,AND(EOMONTH(DATE(A76,B76,1),0)&gt;=DATE(YEAR(設定!$B$3)+40,MONTH(設定!$B$3),DAY(設定!$B$3))-1,EOMONTH(DATE(A76,B76,1),0)&lt;DATE(YEAR(設定!$B$3)+65,MONTH(設定!$B$3),DAY(設定!$B$3))-1))</f>
        <v/>
      </c>
      <c r="E76" s="9" t="n">
        <v>88000</v>
      </c>
      <c r="F76" s="9" t="n">
        <v>83000</v>
      </c>
      <c r="G76" s="10">
        <f>XLOOKUP(DATE(A76,B76,1),料率マスタ!$A:$A,料率マスタ!$B:$B,,-1,-1)</f>
        <v/>
      </c>
      <c r="H76" s="10">
        <f>XLOOKUP(DATE(A76,B76,1),料率マスタ!$A:$A,料率マスタ!$C:$C,,-1,-1)</f>
        <v/>
      </c>
      <c r="I76" s="10">
        <f>XLOOKUP(DATE(A76,B76,1),料率マスタ!$A:$A,料率マスタ!$D:$D,,-1,-1)</f>
        <v/>
      </c>
      <c r="J76" s="10">
        <f>XLOOKUP(DATE(A76,B76,1),料率マスタ!$A:$A,料率マスタ!$E:$E,,-1,-1)</f>
        <v/>
      </c>
      <c r="K76" s="10">
        <f>XLOOKUP(DATE(A76,B76,1),料率マスタ!$A:$A,料率マスタ!$F:$F,,-1,-1)</f>
        <v/>
      </c>
      <c r="L76" s="10">
        <f>G76+IF(D76,H76,0)</f>
        <v/>
      </c>
      <c r="M76" s="11">
        <f>E76*L76</f>
        <v/>
      </c>
      <c r="N76" s="11">
        <f>E76*K76</f>
        <v/>
      </c>
      <c r="O76" s="11">
        <f>E76*I76</f>
        <v/>
      </c>
      <c r="P76" s="11">
        <f>ROUNDDOWN(E76*J76,0)</f>
        <v/>
      </c>
      <c r="Q76" s="11">
        <f>ROUNDDOWN(ROUND(M76+N76,2),0)</f>
        <v/>
      </c>
      <c r="R76" s="11">
        <f>INT(M76/2)+IF(MOD(M76,2)&gt;1,1,0)+INT(N76/2)+IF(MOD(N76,2)&gt;1,1,0)</f>
        <v/>
      </c>
      <c r="S76" s="11">
        <f>Q76-R76</f>
        <v/>
      </c>
      <c r="T76" s="11">
        <f>ROUNDDOWN(O76,0)</f>
        <v/>
      </c>
      <c r="U76" s="11">
        <f>INT(O76/2)+IF(MOD(O76,2)&gt;1,1,0)</f>
        <v/>
      </c>
      <c r="V76" s="11">
        <f>T76-U76</f>
        <v/>
      </c>
      <c r="W76" s="11">
        <f>P76</f>
        <v/>
      </c>
      <c r="X76" s="11">
        <f>W76</f>
        <v/>
      </c>
      <c r="Y76" s="11">
        <f>R76+U76</f>
        <v/>
      </c>
      <c r="Z76" s="11">
        <f>S76+V76+X76</f>
        <v/>
      </c>
      <c r="AA76" s="11">
        <f>Q76+T76+W76</f>
        <v/>
      </c>
      <c r="AB76" s="11">
        <f>F76-Y76</f>
        <v/>
      </c>
      <c r="AC76" s="9" t="n"/>
      <c r="AD76" s="12">
        <f>IF(AC76="","",AA76-AC76)</f>
        <v/>
      </c>
    </row>
    <row r="77">
      <c r="A77" s="2" t="n">
        <v>2022</v>
      </c>
      <c r="B77" s="2" t="n">
        <v>9</v>
      </c>
      <c r="C77" s="8">
        <f>IF(設定!$B$3="","",DATEDIF(設定!$B$3,EOMONTH(DATE(A77,B77,1),0),"Y"))</f>
        <v/>
      </c>
      <c r="D77" s="8">
        <f>IF(設定!$B$3="",FALSE,AND(EOMONTH(DATE(A77,B77,1),0)&gt;=DATE(YEAR(設定!$B$3)+40,MONTH(設定!$B$3),DAY(設定!$B$3))-1,EOMONTH(DATE(A77,B77,1),0)&lt;DATE(YEAR(設定!$B$3)+65,MONTH(設定!$B$3),DAY(設定!$B$3))-1))</f>
        <v/>
      </c>
      <c r="E77" s="9" t="n">
        <v>88000</v>
      </c>
      <c r="F77" s="9" t="n">
        <v>83000</v>
      </c>
      <c r="G77" s="10">
        <f>XLOOKUP(DATE(A77,B77,1),料率マスタ!$A:$A,料率マスタ!$B:$B,,-1,-1)</f>
        <v/>
      </c>
      <c r="H77" s="10">
        <f>XLOOKUP(DATE(A77,B77,1),料率マスタ!$A:$A,料率マスタ!$C:$C,,-1,-1)</f>
        <v/>
      </c>
      <c r="I77" s="10">
        <f>XLOOKUP(DATE(A77,B77,1),料率マスタ!$A:$A,料率マスタ!$D:$D,,-1,-1)</f>
        <v/>
      </c>
      <c r="J77" s="10">
        <f>XLOOKUP(DATE(A77,B77,1),料率マスタ!$A:$A,料率マスタ!$E:$E,,-1,-1)</f>
        <v/>
      </c>
      <c r="K77" s="10">
        <f>XLOOKUP(DATE(A77,B77,1),料率マスタ!$A:$A,料率マスタ!$F:$F,,-1,-1)</f>
        <v/>
      </c>
      <c r="L77" s="10">
        <f>G77+IF(D77,H77,0)</f>
        <v/>
      </c>
      <c r="M77" s="11">
        <f>E77*L77</f>
        <v/>
      </c>
      <c r="N77" s="11">
        <f>E77*K77</f>
        <v/>
      </c>
      <c r="O77" s="11">
        <f>E77*I77</f>
        <v/>
      </c>
      <c r="P77" s="11">
        <f>ROUNDDOWN(E77*J77,0)</f>
        <v/>
      </c>
      <c r="Q77" s="11">
        <f>ROUNDDOWN(ROUND(M77+N77,2),0)</f>
        <v/>
      </c>
      <c r="R77" s="11">
        <f>INT(M77/2)+IF(MOD(M77,2)&gt;1,1,0)+INT(N77/2)+IF(MOD(N77,2)&gt;1,1,0)</f>
        <v/>
      </c>
      <c r="S77" s="11">
        <f>Q77-R77</f>
        <v/>
      </c>
      <c r="T77" s="11">
        <f>ROUNDDOWN(O77,0)</f>
        <v/>
      </c>
      <c r="U77" s="11">
        <f>INT(O77/2)+IF(MOD(O77,2)&gt;1,1,0)</f>
        <v/>
      </c>
      <c r="V77" s="11">
        <f>T77-U77</f>
        <v/>
      </c>
      <c r="W77" s="11">
        <f>P77</f>
        <v/>
      </c>
      <c r="X77" s="11">
        <f>W77</f>
        <v/>
      </c>
      <c r="Y77" s="11">
        <f>R77+U77</f>
        <v/>
      </c>
      <c r="Z77" s="11">
        <f>S77+V77+X77</f>
        <v/>
      </c>
      <c r="AA77" s="11">
        <f>Q77+T77+W77</f>
        <v/>
      </c>
      <c r="AB77" s="11">
        <f>F77-Y77</f>
        <v/>
      </c>
      <c r="AC77" s="9" t="n"/>
      <c r="AD77" s="12">
        <f>IF(AC77="","",AA77-AC77)</f>
        <v/>
      </c>
    </row>
    <row r="78">
      <c r="A78" s="2" t="n">
        <v>2022</v>
      </c>
      <c r="B78" s="2" t="n">
        <v>10</v>
      </c>
      <c r="C78" s="8">
        <f>IF(設定!$B$3="","",DATEDIF(設定!$B$3,EOMONTH(DATE(A78,B78,1),0),"Y"))</f>
        <v/>
      </c>
      <c r="D78" s="8">
        <f>IF(設定!$B$3="",FALSE,AND(EOMONTH(DATE(A78,B78,1),0)&gt;=DATE(YEAR(設定!$B$3)+40,MONTH(設定!$B$3),DAY(設定!$B$3))-1,EOMONTH(DATE(A78,B78,1),0)&lt;DATE(YEAR(設定!$B$3)+65,MONTH(設定!$B$3),DAY(設定!$B$3))-1))</f>
        <v/>
      </c>
      <c r="E78" s="9" t="n">
        <v>88000</v>
      </c>
      <c r="F78" s="9" t="n">
        <v>83000</v>
      </c>
      <c r="G78" s="10">
        <f>XLOOKUP(DATE(A78,B78,1),料率マスタ!$A:$A,料率マスタ!$B:$B,,-1,-1)</f>
        <v/>
      </c>
      <c r="H78" s="10">
        <f>XLOOKUP(DATE(A78,B78,1),料率マスタ!$A:$A,料率マスタ!$C:$C,,-1,-1)</f>
        <v/>
      </c>
      <c r="I78" s="10">
        <f>XLOOKUP(DATE(A78,B78,1),料率マスタ!$A:$A,料率マスタ!$D:$D,,-1,-1)</f>
        <v/>
      </c>
      <c r="J78" s="10">
        <f>XLOOKUP(DATE(A78,B78,1),料率マスタ!$A:$A,料率マスタ!$E:$E,,-1,-1)</f>
        <v/>
      </c>
      <c r="K78" s="10">
        <f>XLOOKUP(DATE(A78,B78,1),料率マスタ!$A:$A,料率マスタ!$F:$F,,-1,-1)</f>
        <v/>
      </c>
      <c r="L78" s="10">
        <f>G78+IF(D78,H78,0)</f>
        <v/>
      </c>
      <c r="M78" s="11">
        <f>E78*L78</f>
        <v/>
      </c>
      <c r="N78" s="11">
        <f>E78*K78</f>
        <v/>
      </c>
      <c r="O78" s="11">
        <f>E78*I78</f>
        <v/>
      </c>
      <c r="P78" s="11">
        <f>ROUNDDOWN(E78*J78,0)</f>
        <v/>
      </c>
      <c r="Q78" s="11">
        <f>ROUNDDOWN(ROUND(M78+N78,2),0)</f>
        <v/>
      </c>
      <c r="R78" s="11">
        <f>INT(M78/2)+IF(MOD(M78,2)&gt;1,1,0)+INT(N78/2)+IF(MOD(N78,2)&gt;1,1,0)</f>
        <v/>
      </c>
      <c r="S78" s="11">
        <f>Q78-R78</f>
        <v/>
      </c>
      <c r="T78" s="11">
        <f>ROUNDDOWN(O78,0)</f>
        <v/>
      </c>
      <c r="U78" s="11">
        <f>INT(O78/2)+IF(MOD(O78,2)&gt;1,1,0)</f>
        <v/>
      </c>
      <c r="V78" s="11">
        <f>T78-U78</f>
        <v/>
      </c>
      <c r="W78" s="11">
        <f>P78</f>
        <v/>
      </c>
      <c r="X78" s="11">
        <f>W78</f>
        <v/>
      </c>
      <c r="Y78" s="11">
        <f>R78+U78</f>
        <v/>
      </c>
      <c r="Z78" s="11">
        <f>S78+V78+X78</f>
        <v/>
      </c>
      <c r="AA78" s="11">
        <f>Q78+T78+W78</f>
        <v/>
      </c>
      <c r="AB78" s="11">
        <f>F78-Y78</f>
        <v/>
      </c>
      <c r="AC78" s="9" t="n"/>
      <c r="AD78" s="12">
        <f>IF(AC78="","",AA78-AC78)</f>
        <v/>
      </c>
    </row>
    <row r="79">
      <c r="A79" s="2" t="n">
        <v>2022</v>
      </c>
      <c r="B79" s="2" t="n">
        <v>11</v>
      </c>
      <c r="C79" s="8">
        <f>IF(設定!$B$3="","",DATEDIF(設定!$B$3,EOMONTH(DATE(A79,B79,1),0),"Y"))</f>
        <v/>
      </c>
      <c r="D79" s="8">
        <f>IF(設定!$B$3="",FALSE,AND(EOMONTH(DATE(A79,B79,1),0)&gt;=DATE(YEAR(設定!$B$3)+40,MONTH(設定!$B$3),DAY(設定!$B$3))-1,EOMONTH(DATE(A79,B79,1),0)&lt;DATE(YEAR(設定!$B$3)+65,MONTH(設定!$B$3),DAY(設定!$B$3))-1))</f>
        <v/>
      </c>
      <c r="E79" s="9" t="n">
        <v>88000</v>
      </c>
      <c r="F79" s="9" t="n">
        <v>83000</v>
      </c>
      <c r="G79" s="10">
        <f>XLOOKUP(DATE(A79,B79,1),料率マスタ!$A:$A,料率マスタ!$B:$B,,-1,-1)</f>
        <v/>
      </c>
      <c r="H79" s="10">
        <f>XLOOKUP(DATE(A79,B79,1),料率マスタ!$A:$A,料率マスタ!$C:$C,,-1,-1)</f>
        <v/>
      </c>
      <c r="I79" s="10">
        <f>XLOOKUP(DATE(A79,B79,1),料率マスタ!$A:$A,料率マスタ!$D:$D,,-1,-1)</f>
        <v/>
      </c>
      <c r="J79" s="10">
        <f>XLOOKUP(DATE(A79,B79,1),料率マスタ!$A:$A,料率マスタ!$E:$E,,-1,-1)</f>
        <v/>
      </c>
      <c r="K79" s="10">
        <f>XLOOKUP(DATE(A79,B79,1),料率マスタ!$A:$A,料率マスタ!$F:$F,,-1,-1)</f>
        <v/>
      </c>
      <c r="L79" s="10">
        <f>G79+IF(D79,H79,0)</f>
        <v/>
      </c>
      <c r="M79" s="11">
        <f>E79*L79</f>
        <v/>
      </c>
      <c r="N79" s="11">
        <f>E79*K79</f>
        <v/>
      </c>
      <c r="O79" s="11">
        <f>E79*I79</f>
        <v/>
      </c>
      <c r="P79" s="11">
        <f>ROUNDDOWN(E79*J79,0)</f>
        <v/>
      </c>
      <c r="Q79" s="11">
        <f>ROUNDDOWN(ROUND(M79+N79,2),0)</f>
        <v/>
      </c>
      <c r="R79" s="11">
        <f>INT(M79/2)+IF(MOD(M79,2)&gt;1,1,0)+INT(N79/2)+IF(MOD(N79,2)&gt;1,1,0)</f>
        <v/>
      </c>
      <c r="S79" s="11">
        <f>Q79-R79</f>
        <v/>
      </c>
      <c r="T79" s="11">
        <f>ROUNDDOWN(O79,0)</f>
        <v/>
      </c>
      <c r="U79" s="11">
        <f>INT(O79/2)+IF(MOD(O79,2)&gt;1,1,0)</f>
        <v/>
      </c>
      <c r="V79" s="11">
        <f>T79-U79</f>
        <v/>
      </c>
      <c r="W79" s="11">
        <f>P79</f>
        <v/>
      </c>
      <c r="X79" s="11">
        <f>W79</f>
        <v/>
      </c>
      <c r="Y79" s="11">
        <f>R79+U79</f>
        <v/>
      </c>
      <c r="Z79" s="11">
        <f>S79+V79+X79</f>
        <v/>
      </c>
      <c r="AA79" s="11">
        <f>Q79+T79+W79</f>
        <v/>
      </c>
      <c r="AB79" s="11">
        <f>F79-Y79</f>
        <v/>
      </c>
      <c r="AC79" s="9" t="n"/>
      <c r="AD79" s="12">
        <f>IF(AC79="","",AA79-AC79)</f>
        <v/>
      </c>
    </row>
    <row r="80">
      <c r="A80" s="2" t="n">
        <v>2022</v>
      </c>
      <c r="B80" s="2" t="n">
        <v>12</v>
      </c>
      <c r="C80" s="8">
        <f>IF(設定!$B$3="","",DATEDIF(設定!$B$3,EOMONTH(DATE(A80,B80,1),0),"Y"))</f>
        <v/>
      </c>
      <c r="D80" s="8">
        <f>IF(設定!$B$3="",FALSE,AND(EOMONTH(DATE(A80,B80,1),0)&gt;=DATE(YEAR(設定!$B$3)+40,MONTH(設定!$B$3),DAY(設定!$B$3))-1,EOMONTH(DATE(A80,B80,1),0)&lt;DATE(YEAR(設定!$B$3)+65,MONTH(設定!$B$3),DAY(設定!$B$3))-1))</f>
        <v/>
      </c>
      <c r="E80" s="9" t="n">
        <v>88000</v>
      </c>
      <c r="F80" s="9" t="n">
        <v>83000</v>
      </c>
      <c r="G80" s="10">
        <f>XLOOKUP(DATE(A80,B80,1),料率マスタ!$A:$A,料率マスタ!$B:$B,,-1,-1)</f>
        <v/>
      </c>
      <c r="H80" s="10">
        <f>XLOOKUP(DATE(A80,B80,1),料率マスタ!$A:$A,料率マスタ!$C:$C,,-1,-1)</f>
        <v/>
      </c>
      <c r="I80" s="10">
        <f>XLOOKUP(DATE(A80,B80,1),料率マスタ!$A:$A,料率マスタ!$D:$D,,-1,-1)</f>
        <v/>
      </c>
      <c r="J80" s="10">
        <f>XLOOKUP(DATE(A80,B80,1),料率マスタ!$A:$A,料率マスタ!$E:$E,,-1,-1)</f>
        <v/>
      </c>
      <c r="K80" s="10">
        <f>XLOOKUP(DATE(A80,B80,1),料率マスタ!$A:$A,料率マスタ!$F:$F,,-1,-1)</f>
        <v/>
      </c>
      <c r="L80" s="10">
        <f>G80+IF(D80,H80,0)</f>
        <v/>
      </c>
      <c r="M80" s="11">
        <f>E80*L80</f>
        <v/>
      </c>
      <c r="N80" s="11">
        <f>E80*K80</f>
        <v/>
      </c>
      <c r="O80" s="11">
        <f>E80*I80</f>
        <v/>
      </c>
      <c r="P80" s="11">
        <f>ROUNDDOWN(E80*J80,0)</f>
        <v/>
      </c>
      <c r="Q80" s="11">
        <f>ROUNDDOWN(ROUND(M80+N80,2),0)</f>
        <v/>
      </c>
      <c r="R80" s="11">
        <f>INT(M80/2)+IF(MOD(M80,2)&gt;1,1,0)+INT(N80/2)+IF(MOD(N80,2)&gt;1,1,0)</f>
        <v/>
      </c>
      <c r="S80" s="11">
        <f>Q80-R80</f>
        <v/>
      </c>
      <c r="T80" s="11">
        <f>ROUNDDOWN(O80,0)</f>
        <v/>
      </c>
      <c r="U80" s="11">
        <f>INT(O80/2)+IF(MOD(O80,2)&gt;1,1,0)</f>
        <v/>
      </c>
      <c r="V80" s="11">
        <f>T80-U80</f>
        <v/>
      </c>
      <c r="W80" s="11">
        <f>P80</f>
        <v/>
      </c>
      <c r="X80" s="11">
        <f>W80</f>
        <v/>
      </c>
      <c r="Y80" s="11">
        <f>R80+U80</f>
        <v/>
      </c>
      <c r="Z80" s="11">
        <f>S80+V80+X80</f>
        <v/>
      </c>
      <c r="AA80" s="11">
        <f>Q80+T80+W80</f>
        <v/>
      </c>
      <c r="AB80" s="11">
        <f>F80-Y80</f>
        <v/>
      </c>
      <c r="AC80" s="9" t="n"/>
      <c r="AD80" s="12">
        <f>IF(AC80="","",AA80-AC80)</f>
        <v/>
      </c>
    </row>
    <row r="81">
      <c r="A81" s="2" t="n">
        <v>2023</v>
      </c>
      <c r="B81" s="2" t="n">
        <v>1</v>
      </c>
      <c r="C81" s="8">
        <f>IF(設定!$B$3="","",DATEDIF(設定!$B$3,EOMONTH(DATE(A81,B81,1),0),"Y"))</f>
        <v/>
      </c>
      <c r="D81" s="8">
        <f>IF(設定!$B$3="",FALSE,AND(EOMONTH(DATE(A81,B81,1),0)&gt;=DATE(YEAR(設定!$B$3)+40,MONTH(設定!$B$3),DAY(設定!$B$3))-1,EOMONTH(DATE(A81,B81,1),0)&lt;DATE(YEAR(設定!$B$3)+65,MONTH(設定!$B$3),DAY(設定!$B$3))-1))</f>
        <v/>
      </c>
      <c r="E81" s="9" t="n">
        <v>88000</v>
      </c>
      <c r="F81" s="9" t="n">
        <v>83000</v>
      </c>
      <c r="G81" s="10">
        <f>XLOOKUP(DATE(A81,B81,1),料率マスタ!$A:$A,料率マスタ!$B:$B,,-1,-1)</f>
        <v/>
      </c>
      <c r="H81" s="10">
        <f>XLOOKUP(DATE(A81,B81,1),料率マスタ!$A:$A,料率マスタ!$C:$C,,-1,-1)</f>
        <v/>
      </c>
      <c r="I81" s="10">
        <f>XLOOKUP(DATE(A81,B81,1),料率マスタ!$A:$A,料率マスタ!$D:$D,,-1,-1)</f>
        <v/>
      </c>
      <c r="J81" s="10">
        <f>XLOOKUP(DATE(A81,B81,1),料率マスタ!$A:$A,料率マスタ!$E:$E,,-1,-1)</f>
        <v/>
      </c>
      <c r="K81" s="10">
        <f>XLOOKUP(DATE(A81,B81,1),料率マスタ!$A:$A,料率マスタ!$F:$F,,-1,-1)</f>
        <v/>
      </c>
      <c r="L81" s="10">
        <f>G81+IF(D81,H81,0)</f>
        <v/>
      </c>
      <c r="M81" s="11">
        <f>E81*L81</f>
        <v/>
      </c>
      <c r="N81" s="11">
        <f>E81*K81</f>
        <v/>
      </c>
      <c r="O81" s="11">
        <f>E81*I81</f>
        <v/>
      </c>
      <c r="P81" s="11">
        <f>ROUNDDOWN(E81*J81,0)</f>
        <v/>
      </c>
      <c r="Q81" s="11">
        <f>ROUNDDOWN(ROUND(M81+N81,2),0)</f>
        <v/>
      </c>
      <c r="R81" s="11">
        <f>INT(M81/2)+IF(MOD(M81,2)&gt;1,1,0)+INT(N81/2)+IF(MOD(N81,2)&gt;1,1,0)</f>
        <v/>
      </c>
      <c r="S81" s="11">
        <f>Q81-R81</f>
        <v/>
      </c>
      <c r="T81" s="11">
        <f>ROUNDDOWN(O81,0)</f>
        <v/>
      </c>
      <c r="U81" s="11">
        <f>INT(O81/2)+IF(MOD(O81,2)&gt;1,1,0)</f>
        <v/>
      </c>
      <c r="V81" s="11">
        <f>T81-U81</f>
        <v/>
      </c>
      <c r="W81" s="11">
        <f>P81</f>
        <v/>
      </c>
      <c r="X81" s="11">
        <f>W81</f>
        <v/>
      </c>
      <c r="Y81" s="11">
        <f>R81+U81</f>
        <v/>
      </c>
      <c r="Z81" s="11">
        <f>S81+V81+X81</f>
        <v/>
      </c>
      <c r="AA81" s="11">
        <f>Q81+T81+W81</f>
        <v/>
      </c>
      <c r="AB81" s="11">
        <f>F81-Y81</f>
        <v/>
      </c>
      <c r="AC81" s="9" t="n"/>
      <c r="AD81" s="12">
        <f>IF(AC81="","",AA81-AC81)</f>
        <v/>
      </c>
    </row>
    <row r="82">
      <c r="A82" s="2" t="n">
        <v>2023</v>
      </c>
      <c r="B82" s="2" t="n">
        <v>2</v>
      </c>
      <c r="C82" s="8">
        <f>IF(設定!$B$3="","",DATEDIF(設定!$B$3,EOMONTH(DATE(A82,B82,1),0),"Y"))</f>
        <v/>
      </c>
      <c r="D82" s="8">
        <f>IF(設定!$B$3="",FALSE,AND(EOMONTH(DATE(A82,B82,1),0)&gt;=DATE(YEAR(設定!$B$3)+40,MONTH(設定!$B$3),DAY(設定!$B$3))-1,EOMONTH(DATE(A82,B82,1),0)&lt;DATE(YEAR(設定!$B$3)+65,MONTH(設定!$B$3),DAY(設定!$B$3))-1))</f>
        <v/>
      </c>
      <c r="E82" s="9" t="n">
        <v>88000</v>
      </c>
      <c r="F82" s="9" t="n">
        <v>83000</v>
      </c>
      <c r="G82" s="10">
        <f>XLOOKUP(DATE(A82,B82,1),料率マスタ!$A:$A,料率マスタ!$B:$B,,-1,-1)</f>
        <v/>
      </c>
      <c r="H82" s="10">
        <f>XLOOKUP(DATE(A82,B82,1),料率マスタ!$A:$A,料率マスタ!$C:$C,,-1,-1)</f>
        <v/>
      </c>
      <c r="I82" s="10">
        <f>XLOOKUP(DATE(A82,B82,1),料率マスタ!$A:$A,料率マスタ!$D:$D,,-1,-1)</f>
        <v/>
      </c>
      <c r="J82" s="10">
        <f>XLOOKUP(DATE(A82,B82,1),料率マスタ!$A:$A,料率マスタ!$E:$E,,-1,-1)</f>
        <v/>
      </c>
      <c r="K82" s="10">
        <f>XLOOKUP(DATE(A82,B82,1),料率マスタ!$A:$A,料率マスタ!$F:$F,,-1,-1)</f>
        <v/>
      </c>
      <c r="L82" s="10">
        <f>G82+IF(D82,H82,0)</f>
        <v/>
      </c>
      <c r="M82" s="11">
        <f>E82*L82</f>
        <v/>
      </c>
      <c r="N82" s="11">
        <f>E82*K82</f>
        <v/>
      </c>
      <c r="O82" s="11">
        <f>E82*I82</f>
        <v/>
      </c>
      <c r="P82" s="11">
        <f>ROUNDDOWN(E82*J82,0)</f>
        <v/>
      </c>
      <c r="Q82" s="11">
        <f>ROUNDDOWN(ROUND(M82+N82,2),0)</f>
        <v/>
      </c>
      <c r="R82" s="11">
        <f>INT(M82/2)+IF(MOD(M82,2)&gt;1,1,0)+INT(N82/2)+IF(MOD(N82,2)&gt;1,1,0)</f>
        <v/>
      </c>
      <c r="S82" s="11">
        <f>Q82-R82</f>
        <v/>
      </c>
      <c r="T82" s="11">
        <f>ROUNDDOWN(O82,0)</f>
        <v/>
      </c>
      <c r="U82" s="11">
        <f>INT(O82/2)+IF(MOD(O82,2)&gt;1,1,0)</f>
        <v/>
      </c>
      <c r="V82" s="11">
        <f>T82-U82</f>
        <v/>
      </c>
      <c r="W82" s="11">
        <f>P82</f>
        <v/>
      </c>
      <c r="X82" s="11">
        <f>W82</f>
        <v/>
      </c>
      <c r="Y82" s="11">
        <f>R82+U82</f>
        <v/>
      </c>
      <c r="Z82" s="11">
        <f>S82+V82+X82</f>
        <v/>
      </c>
      <c r="AA82" s="11">
        <f>Q82+T82+W82</f>
        <v/>
      </c>
      <c r="AB82" s="11">
        <f>F82-Y82</f>
        <v/>
      </c>
      <c r="AC82" s="9" t="n"/>
      <c r="AD82" s="12">
        <f>IF(AC82="","",AA82-AC82)</f>
        <v/>
      </c>
    </row>
    <row r="83">
      <c r="A83" s="2" t="n">
        <v>2023</v>
      </c>
      <c r="B83" s="2" t="n">
        <v>3</v>
      </c>
      <c r="C83" s="8">
        <f>IF(設定!$B$3="","",DATEDIF(設定!$B$3,EOMONTH(DATE(A83,B83,1),0),"Y"))</f>
        <v/>
      </c>
      <c r="D83" s="8">
        <f>IF(設定!$B$3="",FALSE,AND(EOMONTH(DATE(A83,B83,1),0)&gt;=DATE(YEAR(設定!$B$3)+40,MONTH(設定!$B$3),DAY(設定!$B$3))-1,EOMONTH(DATE(A83,B83,1),0)&lt;DATE(YEAR(設定!$B$3)+65,MONTH(設定!$B$3),DAY(設定!$B$3))-1))</f>
        <v/>
      </c>
      <c r="E83" s="9" t="n">
        <v>88000</v>
      </c>
      <c r="F83" s="9" t="n">
        <v>83000</v>
      </c>
      <c r="G83" s="10">
        <f>XLOOKUP(DATE(A83,B83,1),料率マスタ!$A:$A,料率マスタ!$B:$B,,-1,-1)</f>
        <v/>
      </c>
      <c r="H83" s="10">
        <f>XLOOKUP(DATE(A83,B83,1),料率マスタ!$A:$A,料率マスタ!$C:$C,,-1,-1)</f>
        <v/>
      </c>
      <c r="I83" s="10">
        <f>XLOOKUP(DATE(A83,B83,1),料率マスタ!$A:$A,料率マスタ!$D:$D,,-1,-1)</f>
        <v/>
      </c>
      <c r="J83" s="10">
        <f>XLOOKUP(DATE(A83,B83,1),料率マスタ!$A:$A,料率マスタ!$E:$E,,-1,-1)</f>
        <v/>
      </c>
      <c r="K83" s="10">
        <f>XLOOKUP(DATE(A83,B83,1),料率マスタ!$A:$A,料率マスタ!$F:$F,,-1,-1)</f>
        <v/>
      </c>
      <c r="L83" s="10">
        <f>G83+IF(D83,H83,0)</f>
        <v/>
      </c>
      <c r="M83" s="11">
        <f>E83*L83</f>
        <v/>
      </c>
      <c r="N83" s="11">
        <f>E83*K83</f>
        <v/>
      </c>
      <c r="O83" s="11">
        <f>E83*I83</f>
        <v/>
      </c>
      <c r="P83" s="11">
        <f>ROUNDDOWN(E83*J83,0)</f>
        <v/>
      </c>
      <c r="Q83" s="11">
        <f>ROUNDDOWN(ROUND(M83+N83,2),0)</f>
        <v/>
      </c>
      <c r="R83" s="11">
        <f>INT(M83/2)+IF(MOD(M83,2)&gt;1,1,0)+INT(N83/2)+IF(MOD(N83,2)&gt;1,1,0)</f>
        <v/>
      </c>
      <c r="S83" s="11">
        <f>Q83-R83</f>
        <v/>
      </c>
      <c r="T83" s="11">
        <f>ROUNDDOWN(O83,0)</f>
        <v/>
      </c>
      <c r="U83" s="11">
        <f>INT(O83/2)+IF(MOD(O83,2)&gt;1,1,0)</f>
        <v/>
      </c>
      <c r="V83" s="11">
        <f>T83-U83</f>
        <v/>
      </c>
      <c r="W83" s="11">
        <f>P83</f>
        <v/>
      </c>
      <c r="X83" s="11">
        <f>W83</f>
        <v/>
      </c>
      <c r="Y83" s="11">
        <f>R83+U83</f>
        <v/>
      </c>
      <c r="Z83" s="11">
        <f>S83+V83+X83</f>
        <v/>
      </c>
      <c r="AA83" s="11">
        <f>Q83+T83+W83</f>
        <v/>
      </c>
      <c r="AB83" s="11">
        <f>F83-Y83</f>
        <v/>
      </c>
      <c r="AC83" s="9" t="n"/>
      <c r="AD83" s="12">
        <f>IF(AC83="","",AA83-AC83)</f>
        <v/>
      </c>
    </row>
    <row r="84">
      <c r="A84" s="2" t="n">
        <v>2023</v>
      </c>
      <c r="B84" s="2" t="n">
        <v>4</v>
      </c>
      <c r="C84" s="8">
        <f>IF(設定!$B$3="","",DATEDIF(設定!$B$3,EOMONTH(DATE(A84,B84,1),0),"Y"))</f>
        <v/>
      </c>
      <c r="D84" s="8">
        <f>IF(設定!$B$3="",FALSE,AND(EOMONTH(DATE(A84,B84,1),0)&gt;=DATE(YEAR(設定!$B$3)+40,MONTH(設定!$B$3),DAY(設定!$B$3))-1,EOMONTH(DATE(A84,B84,1),0)&lt;DATE(YEAR(設定!$B$3)+65,MONTH(設定!$B$3),DAY(設定!$B$3))-1))</f>
        <v/>
      </c>
      <c r="E84" s="9" t="n">
        <v>88000</v>
      </c>
      <c r="F84" s="9" t="n">
        <v>83000</v>
      </c>
      <c r="G84" s="10">
        <f>XLOOKUP(DATE(A84,B84,1),料率マスタ!$A:$A,料率マスタ!$B:$B,,-1,-1)</f>
        <v/>
      </c>
      <c r="H84" s="10">
        <f>XLOOKUP(DATE(A84,B84,1),料率マスタ!$A:$A,料率マスタ!$C:$C,,-1,-1)</f>
        <v/>
      </c>
      <c r="I84" s="10">
        <f>XLOOKUP(DATE(A84,B84,1),料率マスタ!$A:$A,料率マスタ!$D:$D,,-1,-1)</f>
        <v/>
      </c>
      <c r="J84" s="10">
        <f>XLOOKUP(DATE(A84,B84,1),料率マスタ!$A:$A,料率マスタ!$E:$E,,-1,-1)</f>
        <v/>
      </c>
      <c r="K84" s="10">
        <f>XLOOKUP(DATE(A84,B84,1),料率マスタ!$A:$A,料率マスタ!$F:$F,,-1,-1)</f>
        <v/>
      </c>
      <c r="L84" s="10">
        <f>G84+IF(D84,H84,0)</f>
        <v/>
      </c>
      <c r="M84" s="11">
        <f>E84*L84</f>
        <v/>
      </c>
      <c r="N84" s="11">
        <f>E84*K84</f>
        <v/>
      </c>
      <c r="O84" s="11">
        <f>E84*I84</f>
        <v/>
      </c>
      <c r="P84" s="11">
        <f>ROUNDDOWN(E84*J84,0)</f>
        <v/>
      </c>
      <c r="Q84" s="11">
        <f>ROUNDDOWN(ROUND(M84+N84,2),0)</f>
        <v/>
      </c>
      <c r="R84" s="11">
        <f>INT(M84/2)+IF(MOD(M84,2)&gt;1,1,0)+INT(N84/2)+IF(MOD(N84,2)&gt;1,1,0)</f>
        <v/>
      </c>
      <c r="S84" s="11">
        <f>Q84-R84</f>
        <v/>
      </c>
      <c r="T84" s="11">
        <f>ROUNDDOWN(O84,0)</f>
        <v/>
      </c>
      <c r="U84" s="11">
        <f>INT(O84/2)+IF(MOD(O84,2)&gt;1,1,0)</f>
        <v/>
      </c>
      <c r="V84" s="11">
        <f>T84-U84</f>
        <v/>
      </c>
      <c r="W84" s="11">
        <f>P84</f>
        <v/>
      </c>
      <c r="X84" s="11">
        <f>W84</f>
        <v/>
      </c>
      <c r="Y84" s="11">
        <f>R84+U84</f>
        <v/>
      </c>
      <c r="Z84" s="11">
        <f>S84+V84+X84</f>
        <v/>
      </c>
      <c r="AA84" s="11">
        <f>Q84+T84+W84</f>
        <v/>
      </c>
      <c r="AB84" s="11">
        <f>F84-Y84</f>
        <v/>
      </c>
      <c r="AC84" s="9" t="n"/>
      <c r="AD84" s="12">
        <f>IF(AC84="","",AA84-AC84)</f>
        <v/>
      </c>
    </row>
    <row r="85">
      <c r="A85" s="2" t="n">
        <v>2023</v>
      </c>
      <c r="B85" s="2" t="n">
        <v>5</v>
      </c>
      <c r="C85" s="8">
        <f>IF(設定!$B$3="","",DATEDIF(設定!$B$3,EOMONTH(DATE(A85,B85,1),0),"Y"))</f>
        <v/>
      </c>
      <c r="D85" s="8">
        <f>IF(設定!$B$3="",FALSE,AND(EOMONTH(DATE(A85,B85,1),0)&gt;=DATE(YEAR(設定!$B$3)+40,MONTH(設定!$B$3),DAY(設定!$B$3))-1,EOMONTH(DATE(A85,B85,1),0)&lt;DATE(YEAR(設定!$B$3)+65,MONTH(設定!$B$3),DAY(設定!$B$3))-1))</f>
        <v/>
      </c>
      <c r="E85" s="9" t="n">
        <v>88000</v>
      </c>
      <c r="F85" s="9" t="n">
        <v>83000</v>
      </c>
      <c r="G85" s="10">
        <f>XLOOKUP(DATE(A85,B85,1),料率マスタ!$A:$A,料率マスタ!$B:$B,,-1,-1)</f>
        <v/>
      </c>
      <c r="H85" s="10">
        <f>XLOOKUP(DATE(A85,B85,1),料率マスタ!$A:$A,料率マスタ!$C:$C,,-1,-1)</f>
        <v/>
      </c>
      <c r="I85" s="10">
        <f>XLOOKUP(DATE(A85,B85,1),料率マスタ!$A:$A,料率マスタ!$D:$D,,-1,-1)</f>
        <v/>
      </c>
      <c r="J85" s="10">
        <f>XLOOKUP(DATE(A85,B85,1),料率マスタ!$A:$A,料率マスタ!$E:$E,,-1,-1)</f>
        <v/>
      </c>
      <c r="K85" s="10">
        <f>XLOOKUP(DATE(A85,B85,1),料率マスタ!$A:$A,料率マスタ!$F:$F,,-1,-1)</f>
        <v/>
      </c>
      <c r="L85" s="10">
        <f>G85+IF(D85,H85,0)</f>
        <v/>
      </c>
      <c r="M85" s="11">
        <f>E85*L85</f>
        <v/>
      </c>
      <c r="N85" s="11">
        <f>E85*K85</f>
        <v/>
      </c>
      <c r="O85" s="11">
        <f>E85*I85</f>
        <v/>
      </c>
      <c r="P85" s="11">
        <f>ROUNDDOWN(E85*J85,0)</f>
        <v/>
      </c>
      <c r="Q85" s="11">
        <f>ROUNDDOWN(ROUND(M85+N85,2),0)</f>
        <v/>
      </c>
      <c r="R85" s="11">
        <f>INT(M85/2)+IF(MOD(M85,2)&gt;1,1,0)+INT(N85/2)+IF(MOD(N85,2)&gt;1,1,0)</f>
        <v/>
      </c>
      <c r="S85" s="11">
        <f>Q85-R85</f>
        <v/>
      </c>
      <c r="T85" s="11">
        <f>ROUNDDOWN(O85,0)</f>
        <v/>
      </c>
      <c r="U85" s="11">
        <f>INT(O85/2)+IF(MOD(O85,2)&gt;1,1,0)</f>
        <v/>
      </c>
      <c r="V85" s="11">
        <f>T85-U85</f>
        <v/>
      </c>
      <c r="W85" s="11">
        <f>P85</f>
        <v/>
      </c>
      <c r="X85" s="11">
        <f>W85</f>
        <v/>
      </c>
      <c r="Y85" s="11">
        <f>R85+U85</f>
        <v/>
      </c>
      <c r="Z85" s="11">
        <f>S85+V85+X85</f>
        <v/>
      </c>
      <c r="AA85" s="11">
        <f>Q85+T85+W85</f>
        <v/>
      </c>
      <c r="AB85" s="11">
        <f>F85-Y85</f>
        <v/>
      </c>
      <c r="AC85" s="9" t="n"/>
      <c r="AD85" s="12">
        <f>IF(AC85="","",AA85-AC85)</f>
        <v/>
      </c>
    </row>
    <row r="86">
      <c r="A86" s="2" t="n">
        <v>2023</v>
      </c>
      <c r="B86" s="2" t="n">
        <v>6</v>
      </c>
      <c r="C86" s="8">
        <f>IF(設定!$B$3="","",DATEDIF(設定!$B$3,EOMONTH(DATE(A86,B86,1),0),"Y"))</f>
        <v/>
      </c>
      <c r="D86" s="8">
        <f>IF(設定!$B$3="",FALSE,AND(EOMONTH(DATE(A86,B86,1),0)&gt;=DATE(YEAR(設定!$B$3)+40,MONTH(設定!$B$3),DAY(設定!$B$3))-1,EOMONTH(DATE(A86,B86,1),0)&lt;DATE(YEAR(設定!$B$3)+65,MONTH(設定!$B$3),DAY(設定!$B$3))-1))</f>
        <v/>
      </c>
      <c r="E86" s="9" t="n">
        <v>88000</v>
      </c>
      <c r="F86" s="9" t="n">
        <v>83000</v>
      </c>
      <c r="G86" s="10">
        <f>XLOOKUP(DATE(A86,B86,1),料率マスタ!$A:$A,料率マスタ!$B:$B,,-1,-1)</f>
        <v/>
      </c>
      <c r="H86" s="10">
        <f>XLOOKUP(DATE(A86,B86,1),料率マスタ!$A:$A,料率マスタ!$C:$C,,-1,-1)</f>
        <v/>
      </c>
      <c r="I86" s="10">
        <f>XLOOKUP(DATE(A86,B86,1),料率マスタ!$A:$A,料率マスタ!$D:$D,,-1,-1)</f>
        <v/>
      </c>
      <c r="J86" s="10">
        <f>XLOOKUP(DATE(A86,B86,1),料率マスタ!$A:$A,料率マスタ!$E:$E,,-1,-1)</f>
        <v/>
      </c>
      <c r="K86" s="10">
        <f>XLOOKUP(DATE(A86,B86,1),料率マスタ!$A:$A,料率マスタ!$F:$F,,-1,-1)</f>
        <v/>
      </c>
      <c r="L86" s="10">
        <f>G86+IF(D86,H86,0)</f>
        <v/>
      </c>
      <c r="M86" s="11">
        <f>E86*L86</f>
        <v/>
      </c>
      <c r="N86" s="11">
        <f>E86*K86</f>
        <v/>
      </c>
      <c r="O86" s="11">
        <f>E86*I86</f>
        <v/>
      </c>
      <c r="P86" s="11">
        <f>ROUNDDOWN(E86*J86,0)</f>
        <v/>
      </c>
      <c r="Q86" s="11">
        <f>ROUNDDOWN(ROUND(M86+N86,2),0)</f>
        <v/>
      </c>
      <c r="R86" s="11">
        <f>INT(M86/2)+IF(MOD(M86,2)&gt;1,1,0)+INT(N86/2)+IF(MOD(N86,2)&gt;1,1,0)</f>
        <v/>
      </c>
      <c r="S86" s="11">
        <f>Q86-R86</f>
        <v/>
      </c>
      <c r="T86" s="11">
        <f>ROUNDDOWN(O86,0)</f>
        <v/>
      </c>
      <c r="U86" s="11">
        <f>INT(O86/2)+IF(MOD(O86,2)&gt;1,1,0)</f>
        <v/>
      </c>
      <c r="V86" s="11">
        <f>T86-U86</f>
        <v/>
      </c>
      <c r="W86" s="11">
        <f>P86</f>
        <v/>
      </c>
      <c r="X86" s="11">
        <f>W86</f>
        <v/>
      </c>
      <c r="Y86" s="11">
        <f>R86+U86</f>
        <v/>
      </c>
      <c r="Z86" s="11">
        <f>S86+V86+X86</f>
        <v/>
      </c>
      <c r="AA86" s="11">
        <f>Q86+T86+W86</f>
        <v/>
      </c>
      <c r="AB86" s="11">
        <f>F86-Y86</f>
        <v/>
      </c>
      <c r="AC86" s="9" t="n"/>
      <c r="AD86" s="12">
        <f>IF(AC86="","",AA86-AC86)</f>
        <v/>
      </c>
    </row>
    <row r="87">
      <c r="A87" s="2" t="n">
        <v>2023</v>
      </c>
      <c r="B87" s="2" t="n">
        <v>7</v>
      </c>
      <c r="C87" s="8">
        <f>IF(設定!$B$3="","",DATEDIF(設定!$B$3,EOMONTH(DATE(A87,B87,1),0),"Y"))</f>
        <v/>
      </c>
      <c r="D87" s="8">
        <f>IF(設定!$B$3="",FALSE,AND(EOMONTH(DATE(A87,B87,1),0)&gt;=DATE(YEAR(設定!$B$3)+40,MONTH(設定!$B$3),DAY(設定!$B$3))-1,EOMONTH(DATE(A87,B87,1),0)&lt;DATE(YEAR(設定!$B$3)+65,MONTH(設定!$B$3),DAY(設定!$B$3))-1))</f>
        <v/>
      </c>
      <c r="E87" s="9" t="n">
        <v>88000</v>
      </c>
      <c r="F87" s="9" t="n">
        <v>83000</v>
      </c>
      <c r="G87" s="10">
        <f>XLOOKUP(DATE(A87,B87,1),料率マスタ!$A:$A,料率マスタ!$B:$B,,-1,-1)</f>
        <v/>
      </c>
      <c r="H87" s="10">
        <f>XLOOKUP(DATE(A87,B87,1),料率マスタ!$A:$A,料率マスタ!$C:$C,,-1,-1)</f>
        <v/>
      </c>
      <c r="I87" s="10">
        <f>XLOOKUP(DATE(A87,B87,1),料率マスタ!$A:$A,料率マスタ!$D:$D,,-1,-1)</f>
        <v/>
      </c>
      <c r="J87" s="10">
        <f>XLOOKUP(DATE(A87,B87,1),料率マスタ!$A:$A,料率マスタ!$E:$E,,-1,-1)</f>
        <v/>
      </c>
      <c r="K87" s="10">
        <f>XLOOKUP(DATE(A87,B87,1),料率マスタ!$A:$A,料率マスタ!$F:$F,,-1,-1)</f>
        <v/>
      </c>
      <c r="L87" s="10">
        <f>G87+IF(D87,H87,0)</f>
        <v/>
      </c>
      <c r="M87" s="11">
        <f>E87*L87</f>
        <v/>
      </c>
      <c r="N87" s="11">
        <f>E87*K87</f>
        <v/>
      </c>
      <c r="O87" s="11">
        <f>E87*I87</f>
        <v/>
      </c>
      <c r="P87" s="11">
        <f>ROUNDDOWN(E87*J87,0)</f>
        <v/>
      </c>
      <c r="Q87" s="11">
        <f>ROUNDDOWN(ROUND(M87+N87,2),0)</f>
        <v/>
      </c>
      <c r="R87" s="11">
        <f>INT(M87/2)+IF(MOD(M87,2)&gt;1,1,0)+INT(N87/2)+IF(MOD(N87,2)&gt;1,1,0)</f>
        <v/>
      </c>
      <c r="S87" s="11">
        <f>Q87-R87</f>
        <v/>
      </c>
      <c r="T87" s="11">
        <f>ROUNDDOWN(O87,0)</f>
        <v/>
      </c>
      <c r="U87" s="11">
        <f>INT(O87/2)+IF(MOD(O87,2)&gt;1,1,0)</f>
        <v/>
      </c>
      <c r="V87" s="11">
        <f>T87-U87</f>
        <v/>
      </c>
      <c r="W87" s="11">
        <f>P87</f>
        <v/>
      </c>
      <c r="X87" s="11">
        <f>W87</f>
        <v/>
      </c>
      <c r="Y87" s="11">
        <f>R87+U87</f>
        <v/>
      </c>
      <c r="Z87" s="11">
        <f>S87+V87+X87</f>
        <v/>
      </c>
      <c r="AA87" s="11">
        <f>Q87+T87+W87</f>
        <v/>
      </c>
      <c r="AB87" s="11">
        <f>F87-Y87</f>
        <v/>
      </c>
      <c r="AC87" s="9" t="n"/>
      <c r="AD87" s="12">
        <f>IF(AC87="","",AA87-AC87)</f>
        <v/>
      </c>
    </row>
    <row r="88">
      <c r="A88" s="2" t="n">
        <v>2023</v>
      </c>
      <c r="B88" s="2" t="n">
        <v>8</v>
      </c>
      <c r="C88" s="8">
        <f>IF(設定!$B$3="","",DATEDIF(設定!$B$3,EOMONTH(DATE(A88,B88,1),0),"Y"))</f>
        <v/>
      </c>
      <c r="D88" s="8">
        <f>IF(設定!$B$3="",FALSE,AND(EOMONTH(DATE(A88,B88,1),0)&gt;=DATE(YEAR(設定!$B$3)+40,MONTH(設定!$B$3),DAY(設定!$B$3))-1,EOMONTH(DATE(A88,B88,1),0)&lt;DATE(YEAR(設定!$B$3)+65,MONTH(設定!$B$3),DAY(設定!$B$3))-1))</f>
        <v/>
      </c>
      <c r="E88" s="9" t="n">
        <v>88000</v>
      </c>
      <c r="F88" s="9" t="n">
        <v>83000</v>
      </c>
      <c r="G88" s="10">
        <f>XLOOKUP(DATE(A88,B88,1),料率マスタ!$A:$A,料率マスタ!$B:$B,,-1,-1)</f>
        <v/>
      </c>
      <c r="H88" s="10">
        <f>XLOOKUP(DATE(A88,B88,1),料率マスタ!$A:$A,料率マスタ!$C:$C,,-1,-1)</f>
        <v/>
      </c>
      <c r="I88" s="10">
        <f>XLOOKUP(DATE(A88,B88,1),料率マスタ!$A:$A,料率マスタ!$D:$D,,-1,-1)</f>
        <v/>
      </c>
      <c r="J88" s="10">
        <f>XLOOKUP(DATE(A88,B88,1),料率マスタ!$A:$A,料率マスタ!$E:$E,,-1,-1)</f>
        <v/>
      </c>
      <c r="K88" s="10">
        <f>XLOOKUP(DATE(A88,B88,1),料率マスタ!$A:$A,料率マスタ!$F:$F,,-1,-1)</f>
        <v/>
      </c>
      <c r="L88" s="10">
        <f>G88+IF(D88,H88,0)</f>
        <v/>
      </c>
      <c r="M88" s="11">
        <f>E88*L88</f>
        <v/>
      </c>
      <c r="N88" s="11">
        <f>E88*K88</f>
        <v/>
      </c>
      <c r="O88" s="11">
        <f>E88*I88</f>
        <v/>
      </c>
      <c r="P88" s="11">
        <f>ROUNDDOWN(E88*J88,0)</f>
        <v/>
      </c>
      <c r="Q88" s="11">
        <f>ROUNDDOWN(ROUND(M88+N88,2),0)</f>
        <v/>
      </c>
      <c r="R88" s="11">
        <f>INT(M88/2)+IF(MOD(M88,2)&gt;1,1,0)+INT(N88/2)+IF(MOD(N88,2)&gt;1,1,0)</f>
        <v/>
      </c>
      <c r="S88" s="11">
        <f>Q88-R88</f>
        <v/>
      </c>
      <c r="T88" s="11">
        <f>ROUNDDOWN(O88,0)</f>
        <v/>
      </c>
      <c r="U88" s="11">
        <f>INT(O88/2)+IF(MOD(O88,2)&gt;1,1,0)</f>
        <v/>
      </c>
      <c r="V88" s="11">
        <f>T88-U88</f>
        <v/>
      </c>
      <c r="W88" s="11">
        <f>P88</f>
        <v/>
      </c>
      <c r="X88" s="11">
        <f>W88</f>
        <v/>
      </c>
      <c r="Y88" s="11">
        <f>R88+U88</f>
        <v/>
      </c>
      <c r="Z88" s="11">
        <f>S88+V88+X88</f>
        <v/>
      </c>
      <c r="AA88" s="11">
        <f>Q88+T88+W88</f>
        <v/>
      </c>
      <c r="AB88" s="11">
        <f>F88-Y88</f>
        <v/>
      </c>
      <c r="AC88" s="9" t="n"/>
      <c r="AD88" s="12">
        <f>IF(AC88="","",AA88-AC88)</f>
        <v/>
      </c>
    </row>
    <row r="89">
      <c r="A89" s="2" t="n">
        <v>2023</v>
      </c>
      <c r="B89" s="2" t="n">
        <v>9</v>
      </c>
      <c r="C89" s="8">
        <f>IF(設定!$B$3="","",DATEDIF(設定!$B$3,EOMONTH(DATE(A89,B89,1),0),"Y"))</f>
        <v/>
      </c>
      <c r="D89" s="8">
        <f>IF(設定!$B$3="",FALSE,AND(EOMONTH(DATE(A89,B89,1),0)&gt;=DATE(YEAR(設定!$B$3)+40,MONTH(設定!$B$3),DAY(設定!$B$3))-1,EOMONTH(DATE(A89,B89,1),0)&lt;DATE(YEAR(設定!$B$3)+65,MONTH(設定!$B$3),DAY(設定!$B$3))-1))</f>
        <v/>
      </c>
      <c r="E89" s="9" t="n">
        <v>88000</v>
      </c>
      <c r="F89" s="9" t="n">
        <v>83000</v>
      </c>
      <c r="G89" s="10">
        <f>XLOOKUP(DATE(A89,B89,1),料率マスタ!$A:$A,料率マスタ!$B:$B,,-1,-1)</f>
        <v/>
      </c>
      <c r="H89" s="10">
        <f>XLOOKUP(DATE(A89,B89,1),料率マスタ!$A:$A,料率マスタ!$C:$C,,-1,-1)</f>
        <v/>
      </c>
      <c r="I89" s="10">
        <f>XLOOKUP(DATE(A89,B89,1),料率マスタ!$A:$A,料率マスタ!$D:$D,,-1,-1)</f>
        <v/>
      </c>
      <c r="J89" s="10">
        <f>XLOOKUP(DATE(A89,B89,1),料率マスタ!$A:$A,料率マスタ!$E:$E,,-1,-1)</f>
        <v/>
      </c>
      <c r="K89" s="10">
        <f>XLOOKUP(DATE(A89,B89,1),料率マスタ!$A:$A,料率マスタ!$F:$F,,-1,-1)</f>
        <v/>
      </c>
      <c r="L89" s="10">
        <f>G89+IF(D89,H89,0)</f>
        <v/>
      </c>
      <c r="M89" s="11">
        <f>E89*L89</f>
        <v/>
      </c>
      <c r="N89" s="11">
        <f>E89*K89</f>
        <v/>
      </c>
      <c r="O89" s="11">
        <f>E89*I89</f>
        <v/>
      </c>
      <c r="P89" s="11">
        <f>ROUNDDOWN(E89*J89,0)</f>
        <v/>
      </c>
      <c r="Q89" s="11">
        <f>ROUNDDOWN(ROUND(M89+N89,2),0)</f>
        <v/>
      </c>
      <c r="R89" s="11">
        <f>INT(M89/2)+IF(MOD(M89,2)&gt;1,1,0)+INT(N89/2)+IF(MOD(N89,2)&gt;1,1,0)</f>
        <v/>
      </c>
      <c r="S89" s="11">
        <f>Q89-R89</f>
        <v/>
      </c>
      <c r="T89" s="11">
        <f>ROUNDDOWN(O89,0)</f>
        <v/>
      </c>
      <c r="U89" s="11">
        <f>INT(O89/2)+IF(MOD(O89,2)&gt;1,1,0)</f>
        <v/>
      </c>
      <c r="V89" s="11">
        <f>T89-U89</f>
        <v/>
      </c>
      <c r="W89" s="11">
        <f>P89</f>
        <v/>
      </c>
      <c r="X89" s="11">
        <f>W89</f>
        <v/>
      </c>
      <c r="Y89" s="11">
        <f>R89+U89</f>
        <v/>
      </c>
      <c r="Z89" s="11">
        <f>S89+V89+X89</f>
        <v/>
      </c>
      <c r="AA89" s="11">
        <f>Q89+T89+W89</f>
        <v/>
      </c>
      <c r="AB89" s="11">
        <f>F89-Y89</f>
        <v/>
      </c>
      <c r="AC89" s="9" t="n"/>
      <c r="AD89" s="12">
        <f>IF(AC89="","",AA89-AC89)</f>
        <v/>
      </c>
    </row>
    <row r="90">
      <c r="A90" s="2" t="n">
        <v>2023</v>
      </c>
      <c r="B90" s="2" t="n">
        <v>10</v>
      </c>
      <c r="C90" s="8">
        <f>IF(設定!$B$3="","",DATEDIF(設定!$B$3,EOMONTH(DATE(A90,B90,1),0),"Y"))</f>
        <v/>
      </c>
      <c r="D90" s="8">
        <f>IF(設定!$B$3="",FALSE,AND(EOMONTH(DATE(A90,B90,1),0)&gt;=DATE(YEAR(設定!$B$3)+40,MONTH(設定!$B$3),DAY(設定!$B$3))-1,EOMONTH(DATE(A90,B90,1),0)&lt;DATE(YEAR(設定!$B$3)+65,MONTH(設定!$B$3),DAY(設定!$B$3))-1))</f>
        <v/>
      </c>
      <c r="E90" s="9" t="n">
        <v>88000</v>
      </c>
      <c r="F90" s="9" t="n">
        <v>83000</v>
      </c>
      <c r="G90" s="10">
        <f>XLOOKUP(DATE(A90,B90,1),料率マスタ!$A:$A,料率マスタ!$B:$B,,-1,-1)</f>
        <v/>
      </c>
      <c r="H90" s="10">
        <f>XLOOKUP(DATE(A90,B90,1),料率マスタ!$A:$A,料率マスタ!$C:$C,,-1,-1)</f>
        <v/>
      </c>
      <c r="I90" s="10">
        <f>XLOOKUP(DATE(A90,B90,1),料率マスタ!$A:$A,料率マスタ!$D:$D,,-1,-1)</f>
        <v/>
      </c>
      <c r="J90" s="10">
        <f>XLOOKUP(DATE(A90,B90,1),料率マスタ!$A:$A,料率マスタ!$E:$E,,-1,-1)</f>
        <v/>
      </c>
      <c r="K90" s="10">
        <f>XLOOKUP(DATE(A90,B90,1),料率マスタ!$A:$A,料率マスタ!$F:$F,,-1,-1)</f>
        <v/>
      </c>
      <c r="L90" s="10">
        <f>G90+IF(D90,H90,0)</f>
        <v/>
      </c>
      <c r="M90" s="11">
        <f>E90*L90</f>
        <v/>
      </c>
      <c r="N90" s="11">
        <f>E90*K90</f>
        <v/>
      </c>
      <c r="O90" s="11">
        <f>E90*I90</f>
        <v/>
      </c>
      <c r="P90" s="11">
        <f>ROUNDDOWN(E90*J90,0)</f>
        <v/>
      </c>
      <c r="Q90" s="11">
        <f>ROUNDDOWN(ROUND(M90+N90,2),0)</f>
        <v/>
      </c>
      <c r="R90" s="11">
        <f>INT(M90/2)+IF(MOD(M90,2)&gt;1,1,0)+INT(N90/2)+IF(MOD(N90,2)&gt;1,1,0)</f>
        <v/>
      </c>
      <c r="S90" s="11">
        <f>Q90-R90</f>
        <v/>
      </c>
      <c r="T90" s="11">
        <f>ROUNDDOWN(O90,0)</f>
        <v/>
      </c>
      <c r="U90" s="11">
        <f>INT(O90/2)+IF(MOD(O90,2)&gt;1,1,0)</f>
        <v/>
      </c>
      <c r="V90" s="11">
        <f>T90-U90</f>
        <v/>
      </c>
      <c r="W90" s="11">
        <f>P90</f>
        <v/>
      </c>
      <c r="X90" s="11">
        <f>W90</f>
        <v/>
      </c>
      <c r="Y90" s="11">
        <f>R90+U90</f>
        <v/>
      </c>
      <c r="Z90" s="11">
        <f>S90+V90+X90</f>
        <v/>
      </c>
      <c r="AA90" s="11">
        <f>Q90+T90+W90</f>
        <v/>
      </c>
      <c r="AB90" s="11">
        <f>F90-Y90</f>
        <v/>
      </c>
      <c r="AC90" s="9" t="n"/>
      <c r="AD90" s="12">
        <f>IF(AC90="","",AA90-AC90)</f>
        <v/>
      </c>
    </row>
    <row r="91">
      <c r="A91" s="2" t="n">
        <v>2023</v>
      </c>
      <c r="B91" s="2" t="n">
        <v>11</v>
      </c>
      <c r="C91" s="8">
        <f>IF(設定!$B$3="","",DATEDIF(設定!$B$3,EOMONTH(DATE(A91,B91,1),0),"Y"))</f>
        <v/>
      </c>
      <c r="D91" s="8">
        <f>IF(設定!$B$3="",FALSE,AND(EOMONTH(DATE(A91,B91,1),0)&gt;=DATE(YEAR(設定!$B$3)+40,MONTH(設定!$B$3),DAY(設定!$B$3))-1,EOMONTH(DATE(A91,B91,1),0)&lt;DATE(YEAR(設定!$B$3)+65,MONTH(設定!$B$3),DAY(設定!$B$3))-1))</f>
        <v/>
      </c>
      <c r="E91" s="9" t="n">
        <v>88000</v>
      </c>
      <c r="F91" s="9" t="n">
        <v>83000</v>
      </c>
      <c r="G91" s="10">
        <f>XLOOKUP(DATE(A91,B91,1),料率マスタ!$A:$A,料率マスタ!$B:$B,,-1,-1)</f>
        <v/>
      </c>
      <c r="H91" s="10">
        <f>XLOOKUP(DATE(A91,B91,1),料率マスタ!$A:$A,料率マスタ!$C:$C,,-1,-1)</f>
        <v/>
      </c>
      <c r="I91" s="10">
        <f>XLOOKUP(DATE(A91,B91,1),料率マスタ!$A:$A,料率マスタ!$D:$D,,-1,-1)</f>
        <v/>
      </c>
      <c r="J91" s="10">
        <f>XLOOKUP(DATE(A91,B91,1),料率マスタ!$A:$A,料率マスタ!$E:$E,,-1,-1)</f>
        <v/>
      </c>
      <c r="K91" s="10">
        <f>XLOOKUP(DATE(A91,B91,1),料率マスタ!$A:$A,料率マスタ!$F:$F,,-1,-1)</f>
        <v/>
      </c>
      <c r="L91" s="10">
        <f>G91+IF(D91,H91,0)</f>
        <v/>
      </c>
      <c r="M91" s="11">
        <f>E91*L91</f>
        <v/>
      </c>
      <c r="N91" s="11">
        <f>E91*K91</f>
        <v/>
      </c>
      <c r="O91" s="11">
        <f>E91*I91</f>
        <v/>
      </c>
      <c r="P91" s="11">
        <f>ROUNDDOWN(E91*J91,0)</f>
        <v/>
      </c>
      <c r="Q91" s="11">
        <f>ROUNDDOWN(ROUND(M91+N91,2),0)</f>
        <v/>
      </c>
      <c r="R91" s="11">
        <f>INT(M91/2)+IF(MOD(M91,2)&gt;1,1,0)+INT(N91/2)+IF(MOD(N91,2)&gt;1,1,0)</f>
        <v/>
      </c>
      <c r="S91" s="11">
        <f>Q91-R91</f>
        <v/>
      </c>
      <c r="T91" s="11">
        <f>ROUNDDOWN(O91,0)</f>
        <v/>
      </c>
      <c r="U91" s="11">
        <f>INT(O91/2)+IF(MOD(O91,2)&gt;1,1,0)</f>
        <v/>
      </c>
      <c r="V91" s="11">
        <f>T91-U91</f>
        <v/>
      </c>
      <c r="W91" s="11">
        <f>P91</f>
        <v/>
      </c>
      <c r="X91" s="11">
        <f>W91</f>
        <v/>
      </c>
      <c r="Y91" s="11">
        <f>R91+U91</f>
        <v/>
      </c>
      <c r="Z91" s="11">
        <f>S91+V91+X91</f>
        <v/>
      </c>
      <c r="AA91" s="11">
        <f>Q91+T91+W91</f>
        <v/>
      </c>
      <c r="AB91" s="11">
        <f>F91-Y91</f>
        <v/>
      </c>
      <c r="AC91" s="9" t="n"/>
      <c r="AD91" s="12">
        <f>IF(AC91="","",AA91-AC91)</f>
        <v/>
      </c>
    </row>
    <row r="92">
      <c r="A92" s="2" t="n">
        <v>2023</v>
      </c>
      <c r="B92" s="2" t="n">
        <v>12</v>
      </c>
      <c r="C92" s="8">
        <f>IF(設定!$B$3="","",DATEDIF(設定!$B$3,EOMONTH(DATE(A92,B92,1),0),"Y"))</f>
        <v/>
      </c>
      <c r="D92" s="8">
        <f>IF(設定!$B$3="",FALSE,AND(EOMONTH(DATE(A92,B92,1),0)&gt;=DATE(YEAR(設定!$B$3)+40,MONTH(設定!$B$3),DAY(設定!$B$3))-1,EOMONTH(DATE(A92,B92,1),0)&lt;DATE(YEAR(設定!$B$3)+65,MONTH(設定!$B$3),DAY(設定!$B$3))-1))</f>
        <v/>
      </c>
      <c r="E92" s="9" t="n">
        <v>88000</v>
      </c>
      <c r="F92" s="9" t="n">
        <v>83000</v>
      </c>
      <c r="G92" s="10">
        <f>XLOOKUP(DATE(A92,B92,1),料率マスタ!$A:$A,料率マスタ!$B:$B,,-1,-1)</f>
        <v/>
      </c>
      <c r="H92" s="10">
        <f>XLOOKUP(DATE(A92,B92,1),料率マスタ!$A:$A,料率マスタ!$C:$C,,-1,-1)</f>
        <v/>
      </c>
      <c r="I92" s="10">
        <f>XLOOKUP(DATE(A92,B92,1),料率マスタ!$A:$A,料率マスタ!$D:$D,,-1,-1)</f>
        <v/>
      </c>
      <c r="J92" s="10">
        <f>XLOOKUP(DATE(A92,B92,1),料率マスタ!$A:$A,料率マスタ!$E:$E,,-1,-1)</f>
        <v/>
      </c>
      <c r="K92" s="10">
        <f>XLOOKUP(DATE(A92,B92,1),料率マスタ!$A:$A,料率マスタ!$F:$F,,-1,-1)</f>
        <v/>
      </c>
      <c r="L92" s="10">
        <f>G92+IF(D92,H92,0)</f>
        <v/>
      </c>
      <c r="M92" s="11">
        <f>E92*L92</f>
        <v/>
      </c>
      <c r="N92" s="11">
        <f>E92*K92</f>
        <v/>
      </c>
      <c r="O92" s="11">
        <f>E92*I92</f>
        <v/>
      </c>
      <c r="P92" s="11">
        <f>ROUNDDOWN(E92*J92,0)</f>
        <v/>
      </c>
      <c r="Q92" s="11">
        <f>ROUNDDOWN(ROUND(M92+N92,2),0)</f>
        <v/>
      </c>
      <c r="R92" s="11">
        <f>INT(M92/2)+IF(MOD(M92,2)&gt;1,1,0)+INT(N92/2)+IF(MOD(N92,2)&gt;1,1,0)</f>
        <v/>
      </c>
      <c r="S92" s="11">
        <f>Q92-R92</f>
        <v/>
      </c>
      <c r="T92" s="11">
        <f>ROUNDDOWN(O92,0)</f>
        <v/>
      </c>
      <c r="U92" s="11">
        <f>INT(O92/2)+IF(MOD(O92,2)&gt;1,1,0)</f>
        <v/>
      </c>
      <c r="V92" s="11">
        <f>T92-U92</f>
        <v/>
      </c>
      <c r="W92" s="11">
        <f>P92</f>
        <v/>
      </c>
      <c r="X92" s="11">
        <f>W92</f>
        <v/>
      </c>
      <c r="Y92" s="11">
        <f>R92+U92</f>
        <v/>
      </c>
      <c r="Z92" s="11">
        <f>S92+V92+X92</f>
        <v/>
      </c>
      <c r="AA92" s="11">
        <f>Q92+T92+W92</f>
        <v/>
      </c>
      <c r="AB92" s="11">
        <f>F92-Y92</f>
        <v/>
      </c>
      <c r="AC92" s="9" t="n"/>
      <c r="AD92" s="12">
        <f>IF(AC92="","",AA92-AC92)</f>
        <v/>
      </c>
    </row>
    <row r="93">
      <c r="A93" s="2" t="n">
        <v>2024</v>
      </c>
      <c r="B93" s="2" t="n">
        <v>1</v>
      </c>
      <c r="C93" s="8">
        <f>IF(設定!$B$3="","",DATEDIF(設定!$B$3,EOMONTH(DATE(A93,B93,1),0),"Y"))</f>
        <v/>
      </c>
      <c r="D93" s="8">
        <f>IF(設定!$B$3="",FALSE,AND(EOMONTH(DATE(A93,B93,1),0)&gt;=DATE(YEAR(設定!$B$3)+40,MONTH(設定!$B$3),DAY(設定!$B$3))-1,EOMONTH(DATE(A93,B93,1),0)&lt;DATE(YEAR(設定!$B$3)+65,MONTH(設定!$B$3),DAY(設定!$B$3))-1))</f>
        <v/>
      </c>
      <c r="E93" s="9" t="n">
        <v>88000</v>
      </c>
      <c r="F93" s="9" t="n">
        <v>83000</v>
      </c>
      <c r="G93" s="10">
        <f>XLOOKUP(DATE(A93,B93,1),料率マスタ!$A:$A,料率マスタ!$B:$B,,-1,-1)</f>
        <v/>
      </c>
      <c r="H93" s="10">
        <f>XLOOKUP(DATE(A93,B93,1),料率マスタ!$A:$A,料率マスタ!$C:$C,,-1,-1)</f>
        <v/>
      </c>
      <c r="I93" s="10">
        <f>XLOOKUP(DATE(A93,B93,1),料率マスタ!$A:$A,料率マスタ!$D:$D,,-1,-1)</f>
        <v/>
      </c>
      <c r="J93" s="10">
        <f>XLOOKUP(DATE(A93,B93,1),料率マスタ!$A:$A,料率マスタ!$E:$E,,-1,-1)</f>
        <v/>
      </c>
      <c r="K93" s="10">
        <f>XLOOKUP(DATE(A93,B93,1),料率マスタ!$A:$A,料率マスタ!$F:$F,,-1,-1)</f>
        <v/>
      </c>
      <c r="L93" s="10">
        <f>G93+IF(D93,H93,0)</f>
        <v/>
      </c>
      <c r="M93" s="11">
        <f>E93*L93</f>
        <v/>
      </c>
      <c r="N93" s="11">
        <f>E93*K93</f>
        <v/>
      </c>
      <c r="O93" s="11">
        <f>E93*I93</f>
        <v/>
      </c>
      <c r="P93" s="11">
        <f>ROUNDDOWN(E93*J93,0)</f>
        <v/>
      </c>
      <c r="Q93" s="11">
        <f>ROUNDDOWN(ROUND(M93+N93,2),0)</f>
        <v/>
      </c>
      <c r="R93" s="11">
        <f>INT(M93/2)+IF(MOD(M93,2)&gt;1,1,0)+INT(N93/2)+IF(MOD(N93,2)&gt;1,1,0)</f>
        <v/>
      </c>
      <c r="S93" s="11">
        <f>Q93-R93</f>
        <v/>
      </c>
      <c r="T93" s="11">
        <f>ROUNDDOWN(O93,0)</f>
        <v/>
      </c>
      <c r="U93" s="11">
        <f>INT(O93/2)+IF(MOD(O93,2)&gt;1,1,0)</f>
        <v/>
      </c>
      <c r="V93" s="11">
        <f>T93-U93</f>
        <v/>
      </c>
      <c r="W93" s="11">
        <f>P93</f>
        <v/>
      </c>
      <c r="X93" s="11">
        <f>W93</f>
        <v/>
      </c>
      <c r="Y93" s="11">
        <f>R93+U93</f>
        <v/>
      </c>
      <c r="Z93" s="11">
        <f>S93+V93+X93</f>
        <v/>
      </c>
      <c r="AA93" s="11">
        <f>Q93+T93+W93</f>
        <v/>
      </c>
      <c r="AB93" s="11">
        <f>F93-Y93</f>
        <v/>
      </c>
      <c r="AC93" s="9" t="n"/>
      <c r="AD93" s="12">
        <f>IF(AC93="","",AA93-AC93)</f>
        <v/>
      </c>
    </row>
    <row r="94">
      <c r="A94" s="2" t="n">
        <v>2024</v>
      </c>
      <c r="B94" s="2" t="n">
        <v>2</v>
      </c>
      <c r="C94" s="8">
        <f>IF(設定!$B$3="","",DATEDIF(設定!$B$3,EOMONTH(DATE(A94,B94,1),0),"Y"))</f>
        <v/>
      </c>
      <c r="D94" s="8">
        <f>IF(設定!$B$3="",FALSE,AND(EOMONTH(DATE(A94,B94,1),0)&gt;=DATE(YEAR(設定!$B$3)+40,MONTH(設定!$B$3),DAY(設定!$B$3))-1,EOMONTH(DATE(A94,B94,1),0)&lt;DATE(YEAR(設定!$B$3)+65,MONTH(設定!$B$3),DAY(設定!$B$3))-1))</f>
        <v/>
      </c>
      <c r="E94" s="9" t="n">
        <v>88000</v>
      </c>
      <c r="F94" s="9" t="n">
        <v>83000</v>
      </c>
      <c r="G94" s="10">
        <f>XLOOKUP(DATE(A94,B94,1),料率マスタ!$A:$A,料率マスタ!$B:$B,,-1,-1)</f>
        <v/>
      </c>
      <c r="H94" s="10">
        <f>XLOOKUP(DATE(A94,B94,1),料率マスタ!$A:$A,料率マスタ!$C:$C,,-1,-1)</f>
        <v/>
      </c>
      <c r="I94" s="10">
        <f>XLOOKUP(DATE(A94,B94,1),料率マスタ!$A:$A,料率マスタ!$D:$D,,-1,-1)</f>
        <v/>
      </c>
      <c r="J94" s="10">
        <f>XLOOKUP(DATE(A94,B94,1),料率マスタ!$A:$A,料率マスタ!$E:$E,,-1,-1)</f>
        <v/>
      </c>
      <c r="K94" s="10">
        <f>XLOOKUP(DATE(A94,B94,1),料率マスタ!$A:$A,料率マスタ!$F:$F,,-1,-1)</f>
        <v/>
      </c>
      <c r="L94" s="10">
        <f>G94+IF(D94,H94,0)</f>
        <v/>
      </c>
      <c r="M94" s="11">
        <f>E94*L94</f>
        <v/>
      </c>
      <c r="N94" s="11">
        <f>E94*K94</f>
        <v/>
      </c>
      <c r="O94" s="11">
        <f>E94*I94</f>
        <v/>
      </c>
      <c r="P94" s="11">
        <f>ROUNDDOWN(E94*J94,0)</f>
        <v/>
      </c>
      <c r="Q94" s="11">
        <f>ROUNDDOWN(ROUND(M94+N94,2),0)</f>
        <v/>
      </c>
      <c r="R94" s="11">
        <f>INT(M94/2)+IF(MOD(M94,2)&gt;1,1,0)+INT(N94/2)+IF(MOD(N94,2)&gt;1,1,0)</f>
        <v/>
      </c>
      <c r="S94" s="11">
        <f>Q94-R94</f>
        <v/>
      </c>
      <c r="T94" s="11">
        <f>ROUNDDOWN(O94,0)</f>
        <v/>
      </c>
      <c r="U94" s="11">
        <f>INT(O94/2)+IF(MOD(O94,2)&gt;1,1,0)</f>
        <v/>
      </c>
      <c r="V94" s="11">
        <f>T94-U94</f>
        <v/>
      </c>
      <c r="W94" s="11">
        <f>P94</f>
        <v/>
      </c>
      <c r="X94" s="11">
        <f>W94</f>
        <v/>
      </c>
      <c r="Y94" s="11">
        <f>R94+U94</f>
        <v/>
      </c>
      <c r="Z94" s="11">
        <f>S94+V94+X94</f>
        <v/>
      </c>
      <c r="AA94" s="11">
        <f>Q94+T94+W94</f>
        <v/>
      </c>
      <c r="AB94" s="11">
        <f>F94-Y94</f>
        <v/>
      </c>
      <c r="AC94" s="9" t="n"/>
      <c r="AD94" s="12">
        <f>IF(AC94="","",AA94-AC94)</f>
        <v/>
      </c>
    </row>
    <row r="95">
      <c r="A95" s="2" t="n">
        <v>2024</v>
      </c>
      <c r="B95" s="2" t="n">
        <v>3</v>
      </c>
      <c r="C95" s="8">
        <f>IF(設定!$B$3="","",DATEDIF(設定!$B$3,EOMONTH(DATE(A95,B95,1),0),"Y"))</f>
        <v/>
      </c>
      <c r="D95" s="8">
        <f>IF(設定!$B$3="",FALSE,AND(EOMONTH(DATE(A95,B95,1),0)&gt;=DATE(YEAR(設定!$B$3)+40,MONTH(設定!$B$3),DAY(設定!$B$3))-1,EOMONTH(DATE(A95,B95,1),0)&lt;DATE(YEAR(設定!$B$3)+65,MONTH(設定!$B$3),DAY(設定!$B$3))-1))</f>
        <v/>
      </c>
      <c r="E95" s="9" t="n">
        <v>88000</v>
      </c>
      <c r="F95" s="9" t="n">
        <v>83000</v>
      </c>
      <c r="G95" s="10">
        <f>XLOOKUP(DATE(A95,B95,1),料率マスタ!$A:$A,料率マスタ!$B:$B,,-1,-1)</f>
        <v/>
      </c>
      <c r="H95" s="10">
        <f>XLOOKUP(DATE(A95,B95,1),料率マスタ!$A:$A,料率マスタ!$C:$C,,-1,-1)</f>
        <v/>
      </c>
      <c r="I95" s="10">
        <f>XLOOKUP(DATE(A95,B95,1),料率マスタ!$A:$A,料率マスタ!$D:$D,,-1,-1)</f>
        <v/>
      </c>
      <c r="J95" s="10">
        <f>XLOOKUP(DATE(A95,B95,1),料率マスタ!$A:$A,料率マスタ!$E:$E,,-1,-1)</f>
        <v/>
      </c>
      <c r="K95" s="10">
        <f>XLOOKUP(DATE(A95,B95,1),料率マスタ!$A:$A,料率マスタ!$F:$F,,-1,-1)</f>
        <v/>
      </c>
      <c r="L95" s="10">
        <f>G95+IF(D95,H95,0)</f>
        <v/>
      </c>
      <c r="M95" s="11">
        <f>E95*L95</f>
        <v/>
      </c>
      <c r="N95" s="11">
        <f>E95*K95</f>
        <v/>
      </c>
      <c r="O95" s="11">
        <f>E95*I95</f>
        <v/>
      </c>
      <c r="P95" s="11">
        <f>ROUNDDOWN(E95*J95,0)</f>
        <v/>
      </c>
      <c r="Q95" s="11">
        <f>ROUNDDOWN(ROUND(M95+N95,2),0)</f>
        <v/>
      </c>
      <c r="R95" s="11">
        <f>INT(M95/2)+IF(MOD(M95,2)&gt;1,1,0)+INT(N95/2)+IF(MOD(N95,2)&gt;1,1,0)</f>
        <v/>
      </c>
      <c r="S95" s="11">
        <f>Q95-R95</f>
        <v/>
      </c>
      <c r="T95" s="11">
        <f>ROUNDDOWN(O95,0)</f>
        <v/>
      </c>
      <c r="U95" s="11">
        <f>INT(O95/2)+IF(MOD(O95,2)&gt;1,1,0)</f>
        <v/>
      </c>
      <c r="V95" s="11">
        <f>T95-U95</f>
        <v/>
      </c>
      <c r="W95" s="11">
        <f>P95</f>
        <v/>
      </c>
      <c r="X95" s="11">
        <f>W95</f>
        <v/>
      </c>
      <c r="Y95" s="11">
        <f>R95+U95</f>
        <v/>
      </c>
      <c r="Z95" s="11">
        <f>S95+V95+X95</f>
        <v/>
      </c>
      <c r="AA95" s="11">
        <f>Q95+T95+W95</f>
        <v/>
      </c>
      <c r="AB95" s="11">
        <f>F95-Y95</f>
        <v/>
      </c>
      <c r="AC95" s="9" t="n"/>
      <c r="AD95" s="12">
        <f>IF(AC95="","",AA95-AC95)</f>
        <v/>
      </c>
    </row>
    <row r="96">
      <c r="A96" s="2" t="n">
        <v>2024</v>
      </c>
      <c r="B96" s="2" t="n">
        <v>4</v>
      </c>
      <c r="C96" s="8">
        <f>IF(設定!$B$3="","",DATEDIF(設定!$B$3,EOMONTH(DATE(A96,B96,1),0),"Y"))</f>
        <v/>
      </c>
      <c r="D96" s="8">
        <f>IF(設定!$B$3="",FALSE,AND(EOMONTH(DATE(A96,B96,1),0)&gt;=DATE(YEAR(設定!$B$3)+40,MONTH(設定!$B$3),DAY(設定!$B$3))-1,EOMONTH(DATE(A96,B96,1),0)&lt;DATE(YEAR(設定!$B$3)+65,MONTH(設定!$B$3),DAY(設定!$B$3))-1))</f>
        <v/>
      </c>
      <c r="E96" s="9" t="n">
        <v>88000</v>
      </c>
      <c r="F96" s="9" t="n">
        <v>83000</v>
      </c>
      <c r="G96" s="10">
        <f>XLOOKUP(DATE(A96,B96,1),料率マスタ!$A:$A,料率マスタ!$B:$B,,-1,-1)</f>
        <v/>
      </c>
      <c r="H96" s="10">
        <f>XLOOKUP(DATE(A96,B96,1),料率マスタ!$A:$A,料率マスタ!$C:$C,,-1,-1)</f>
        <v/>
      </c>
      <c r="I96" s="10">
        <f>XLOOKUP(DATE(A96,B96,1),料率マスタ!$A:$A,料率マスタ!$D:$D,,-1,-1)</f>
        <v/>
      </c>
      <c r="J96" s="10">
        <f>XLOOKUP(DATE(A96,B96,1),料率マスタ!$A:$A,料率マスタ!$E:$E,,-1,-1)</f>
        <v/>
      </c>
      <c r="K96" s="10">
        <f>XLOOKUP(DATE(A96,B96,1),料率マスタ!$A:$A,料率マスタ!$F:$F,,-1,-1)</f>
        <v/>
      </c>
      <c r="L96" s="10">
        <f>G96+IF(D96,H96,0)</f>
        <v/>
      </c>
      <c r="M96" s="11">
        <f>E96*L96</f>
        <v/>
      </c>
      <c r="N96" s="11">
        <f>E96*K96</f>
        <v/>
      </c>
      <c r="O96" s="11">
        <f>E96*I96</f>
        <v/>
      </c>
      <c r="P96" s="11">
        <f>ROUNDDOWN(E96*J96,0)</f>
        <v/>
      </c>
      <c r="Q96" s="11">
        <f>ROUNDDOWN(ROUND(M96+N96,2),0)</f>
        <v/>
      </c>
      <c r="R96" s="11">
        <f>INT(M96/2)+IF(MOD(M96,2)&gt;1,1,0)+INT(N96/2)+IF(MOD(N96,2)&gt;1,1,0)</f>
        <v/>
      </c>
      <c r="S96" s="11">
        <f>Q96-R96</f>
        <v/>
      </c>
      <c r="T96" s="11">
        <f>ROUNDDOWN(O96,0)</f>
        <v/>
      </c>
      <c r="U96" s="11">
        <f>INT(O96/2)+IF(MOD(O96,2)&gt;1,1,0)</f>
        <v/>
      </c>
      <c r="V96" s="11">
        <f>T96-U96</f>
        <v/>
      </c>
      <c r="W96" s="11">
        <f>P96</f>
        <v/>
      </c>
      <c r="X96" s="11">
        <f>W96</f>
        <v/>
      </c>
      <c r="Y96" s="11">
        <f>R96+U96</f>
        <v/>
      </c>
      <c r="Z96" s="11">
        <f>S96+V96+X96</f>
        <v/>
      </c>
      <c r="AA96" s="11">
        <f>Q96+T96+W96</f>
        <v/>
      </c>
      <c r="AB96" s="11">
        <f>F96-Y96</f>
        <v/>
      </c>
      <c r="AC96" s="9" t="n"/>
      <c r="AD96" s="12">
        <f>IF(AC96="","",AA96-AC96)</f>
        <v/>
      </c>
    </row>
    <row r="97">
      <c r="A97" s="2" t="n">
        <v>2024</v>
      </c>
      <c r="B97" s="2" t="n">
        <v>5</v>
      </c>
      <c r="C97" s="8">
        <f>IF(設定!$B$3="","",DATEDIF(設定!$B$3,EOMONTH(DATE(A97,B97,1),0),"Y"))</f>
        <v/>
      </c>
      <c r="D97" s="8">
        <f>IF(設定!$B$3="",FALSE,AND(EOMONTH(DATE(A97,B97,1),0)&gt;=DATE(YEAR(設定!$B$3)+40,MONTH(設定!$B$3),DAY(設定!$B$3))-1,EOMONTH(DATE(A97,B97,1),0)&lt;DATE(YEAR(設定!$B$3)+65,MONTH(設定!$B$3),DAY(設定!$B$3))-1))</f>
        <v/>
      </c>
      <c r="E97" s="9" t="n">
        <v>88000</v>
      </c>
      <c r="F97" s="9" t="n">
        <v>83000</v>
      </c>
      <c r="G97" s="10">
        <f>XLOOKUP(DATE(A97,B97,1),料率マスタ!$A:$A,料率マスタ!$B:$B,,-1,-1)</f>
        <v/>
      </c>
      <c r="H97" s="10">
        <f>XLOOKUP(DATE(A97,B97,1),料率マスタ!$A:$A,料率マスタ!$C:$C,,-1,-1)</f>
        <v/>
      </c>
      <c r="I97" s="10">
        <f>XLOOKUP(DATE(A97,B97,1),料率マスタ!$A:$A,料率マスタ!$D:$D,,-1,-1)</f>
        <v/>
      </c>
      <c r="J97" s="10">
        <f>XLOOKUP(DATE(A97,B97,1),料率マスタ!$A:$A,料率マスタ!$E:$E,,-1,-1)</f>
        <v/>
      </c>
      <c r="K97" s="10">
        <f>XLOOKUP(DATE(A97,B97,1),料率マスタ!$A:$A,料率マスタ!$F:$F,,-1,-1)</f>
        <v/>
      </c>
      <c r="L97" s="10">
        <f>G97+IF(D97,H97,0)</f>
        <v/>
      </c>
      <c r="M97" s="11">
        <f>E97*L97</f>
        <v/>
      </c>
      <c r="N97" s="11">
        <f>E97*K97</f>
        <v/>
      </c>
      <c r="O97" s="11">
        <f>E97*I97</f>
        <v/>
      </c>
      <c r="P97" s="11">
        <f>ROUNDDOWN(E97*J97,0)</f>
        <v/>
      </c>
      <c r="Q97" s="11">
        <f>ROUNDDOWN(ROUND(M97+N97,2),0)</f>
        <v/>
      </c>
      <c r="R97" s="11">
        <f>INT(M97/2)+IF(MOD(M97,2)&gt;1,1,0)+INT(N97/2)+IF(MOD(N97,2)&gt;1,1,0)</f>
        <v/>
      </c>
      <c r="S97" s="11">
        <f>Q97-R97</f>
        <v/>
      </c>
      <c r="T97" s="11">
        <f>ROUNDDOWN(O97,0)</f>
        <v/>
      </c>
      <c r="U97" s="11">
        <f>INT(O97/2)+IF(MOD(O97,2)&gt;1,1,0)</f>
        <v/>
      </c>
      <c r="V97" s="11">
        <f>T97-U97</f>
        <v/>
      </c>
      <c r="W97" s="11">
        <f>P97</f>
        <v/>
      </c>
      <c r="X97" s="11">
        <f>W97</f>
        <v/>
      </c>
      <c r="Y97" s="11">
        <f>R97+U97</f>
        <v/>
      </c>
      <c r="Z97" s="11">
        <f>S97+V97+X97</f>
        <v/>
      </c>
      <c r="AA97" s="11">
        <f>Q97+T97+W97</f>
        <v/>
      </c>
      <c r="AB97" s="11">
        <f>F97-Y97</f>
        <v/>
      </c>
      <c r="AC97" s="9" t="n"/>
      <c r="AD97" s="12">
        <f>IF(AC97="","",AA97-AC97)</f>
        <v/>
      </c>
    </row>
    <row r="98">
      <c r="A98" s="2" t="n">
        <v>2024</v>
      </c>
      <c r="B98" s="2" t="n">
        <v>6</v>
      </c>
      <c r="C98" s="8">
        <f>IF(設定!$B$3="","",DATEDIF(設定!$B$3,EOMONTH(DATE(A98,B98,1),0),"Y"))</f>
        <v/>
      </c>
      <c r="D98" s="8">
        <f>IF(設定!$B$3="",FALSE,AND(EOMONTH(DATE(A98,B98,1),0)&gt;=DATE(YEAR(設定!$B$3)+40,MONTH(設定!$B$3),DAY(設定!$B$3))-1,EOMONTH(DATE(A98,B98,1),0)&lt;DATE(YEAR(設定!$B$3)+65,MONTH(設定!$B$3),DAY(設定!$B$3))-1))</f>
        <v/>
      </c>
      <c r="E98" s="9" t="n">
        <v>88000</v>
      </c>
      <c r="F98" s="9" t="n">
        <v>83000</v>
      </c>
      <c r="G98" s="10">
        <f>XLOOKUP(DATE(A98,B98,1),料率マスタ!$A:$A,料率マスタ!$B:$B,,-1,-1)</f>
        <v/>
      </c>
      <c r="H98" s="10">
        <f>XLOOKUP(DATE(A98,B98,1),料率マスタ!$A:$A,料率マスタ!$C:$C,,-1,-1)</f>
        <v/>
      </c>
      <c r="I98" s="10">
        <f>XLOOKUP(DATE(A98,B98,1),料率マスタ!$A:$A,料率マスタ!$D:$D,,-1,-1)</f>
        <v/>
      </c>
      <c r="J98" s="10">
        <f>XLOOKUP(DATE(A98,B98,1),料率マスタ!$A:$A,料率マスタ!$E:$E,,-1,-1)</f>
        <v/>
      </c>
      <c r="K98" s="10">
        <f>XLOOKUP(DATE(A98,B98,1),料率マスタ!$A:$A,料率マスタ!$F:$F,,-1,-1)</f>
        <v/>
      </c>
      <c r="L98" s="10">
        <f>G98+IF(D98,H98,0)</f>
        <v/>
      </c>
      <c r="M98" s="11">
        <f>E98*L98</f>
        <v/>
      </c>
      <c r="N98" s="11">
        <f>E98*K98</f>
        <v/>
      </c>
      <c r="O98" s="11">
        <f>E98*I98</f>
        <v/>
      </c>
      <c r="P98" s="11">
        <f>ROUNDDOWN(E98*J98,0)</f>
        <v/>
      </c>
      <c r="Q98" s="11">
        <f>ROUNDDOWN(ROUND(M98+N98,2),0)</f>
        <v/>
      </c>
      <c r="R98" s="11">
        <f>INT(M98/2)+IF(MOD(M98,2)&gt;1,1,0)+INT(N98/2)+IF(MOD(N98,2)&gt;1,1,0)</f>
        <v/>
      </c>
      <c r="S98" s="11">
        <f>Q98-R98</f>
        <v/>
      </c>
      <c r="T98" s="11">
        <f>ROUNDDOWN(O98,0)</f>
        <v/>
      </c>
      <c r="U98" s="11">
        <f>INT(O98/2)+IF(MOD(O98,2)&gt;1,1,0)</f>
        <v/>
      </c>
      <c r="V98" s="11">
        <f>T98-U98</f>
        <v/>
      </c>
      <c r="W98" s="11">
        <f>P98</f>
        <v/>
      </c>
      <c r="X98" s="11">
        <f>W98</f>
        <v/>
      </c>
      <c r="Y98" s="11">
        <f>R98+U98</f>
        <v/>
      </c>
      <c r="Z98" s="11">
        <f>S98+V98+X98</f>
        <v/>
      </c>
      <c r="AA98" s="11">
        <f>Q98+T98+W98</f>
        <v/>
      </c>
      <c r="AB98" s="11">
        <f>F98-Y98</f>
        <v/>
      </c>
      <c r="AC98" s="9" t="n"/>
      <c r="AD98" s="12">
        <f>IF(AC98="","",AA98-AC98)</f>
        <v/>
      </c>
    </row>
    <row r="99">
      <c r="A99" s="2" t="n">
        <v>2024</v>
      </c>
      <c r="B99" s="2" t="n">
        <v>7</v>
      </c>
      <c r="C99" s="8">
        <f>IF(設定!$B$3="","",DATEDIF(設定!$B$3,EOMONTH(DATE(A99,B99,1),0),"Y"))</f>
        <v/>
      </c>
      <c r="D99" s="8">
        <f>IF(設定!$B$3="",FALSE,AND(EOMONTH(DATE(A99,B99,1),0)&gt;=DATE(YEAR(設定!$B$3)+40,MONTH(設定!$B$3),DAY(設定!$B$3))-1,EOMONTH(DATE(A99,B99,1),0)&lt;DATE(YEAR(設定!$B$3)+65,MONTH(設定!$B$3),DAY(設定!$B$3))-1))</f>
        <v/>
      </c>
      <c r="E99" s="9" t="n">
        <v>88000</v>
      </c>
      <c r="F99" s="9" t="n">
        <v>83000</v>
      </c>
      <c r="G99" s="10">
        <f>XLOOKUP(DATE(A99,B99,1),料率マスタ!$A:$A,料率マスタ!$B:$B,,-1,-1)</f>
        <v/>
      </c>
      <c r="H99" s="10">
        <f>XLOOKUP(DATE(A99,B99,1),料率マスタ!$A:$A,料率マスタ!$C:$C,,-1,-1)</f>
        <v/>
      </c>
      <c r="I99" s="10">
        <f>XLOOKUP(DATE(A99,B99,1),料率マスタ!$A:$A,料率マスタ!$D:$D,,-1,-1)</f>
        <v/>
      </c>
      <c r="J99" s="10">
        <f>XLOOKUP(DATE(A99,B99,1),料率マスタ!$A:$A,料率マスタ!$E:$E,,-1,-1)</f>
        <v/>
      </c>
      <c r="K99" s="10">
        <f>XLOOKUP(DATE(A99,B99,1),料率マスタ!$A:$A,料率マスタ!$F:$F,,-1,-1)</f>
        <v/>
      </c>
      <c r="L99" s="10">
        <f>G99+IF(D99,H99,0)</f>
        <v/>
      </c>
      <c r="M99" s="11">
        <f>E99*L99</f>
        <v/>
      </c>
      <c r="N99" s="11">
        <f>E99*K99</f>
        <v/>
      </c>
      <c r="O99" s="11">
        <f>E99*I99</f>
        <v/>
      </c>
      <c r="P99" s="11">
        <f>ROUNDDOWN(E99*J99,0)</f>
        <v/>
      </c>
      <c r="Q99" s="11">
        <f>ROUNDDOWN(ROUND(M99+N99,2),0)</f>
        <v/>
      </c>
      <c r="R99" s="11">
        <f>INT(M99/2)+IF(MOD(M99,2)&gt;1,1,0)+INT(N99/2)+IF(MOD(N99,2)&gt;1,1,0)</f>
        <v/>
      </c>
      <c r="S99" s="11">
        <f>Q99-R99</f>
        <v/>
      </c>
      <c r="T99" s="11">
        <f>ROUNDDOWN(O99,0)</f>
        <v/>
      </c>
      <c r="U99" s="11">
        <f>INT(O99/2)+IF(MOD(O99,2)&gt;1,1,0)</f>
        <v/>
      </c>
      <c r="V99" s="11">
        <f>T99-U99</f>
        <v/>
      </c>
      <c r="W99" s="11">
        <f>P99</f>
        <v/>
      </c>
      <c r="X99" s="11">
        <f>W99</f>
        <v/>
      </c>
      <c r="Y99" s="11">
        <f>R99+U99</f>
        <v/>
      </c>
      <c r="Z99" s="11">
        <f>S99+V99+X99</f>
        <v/>
      </c>
      <c r="AA99" s="11">
        <f>Q99+T99+W99</f>
        <v/>
      </c>
      <c r="AB99" s="11">
        <f>F99-Y99</f>
        <v/>
      </c>
      <c r="AC99" s="9" t="n"/>
      <c r="AD99" s="12">
        <f>IF(AC99="","",AA99-AC99)</f>
        <v/>
      </c>
    </row>
    <row r="100">
      <c r="A100" s="2" t="n">
        <v>2024</v>
      </c>
      <c r="B100" s="2" t="n">
        <v>8</v>
      </c>
      <c r="C100" s="8">
        <f>IF(設定!$B$3="","",DATEDIF(設定!$B$3,EOMONTH(DATE(A100,B100,1),0),"Y"))</f>
        <v/>
      </c>
      <c r="D100" s="8">
        <f>IF(設定!$B$3="",FALSE,AND(EOMONTH(DATE(A100,B100,1),0)&gt;=DATE(YEAR(設定!$B$3)+40,MONTH(設定!$B$3),DAY(設定!$B$3))-1,EOMONTH(DATE(A100,B100,1),0)&lt;DATE(YEAR(設定!$B$3)+65,MONTH(設定!$B$3),DAY(設定!$B$3))-1))</f>
        <v/>
      </c>
      <c r="E100" s="9" t="n">
        <v>88000</v>
      </c>
      <c r="F100" s="9" t="n">
        <v>83000</v>
      </c>
      <c r="G100" s="10">
        <f>XLOOKUP(DATE(A100,B100,1),料率マスタ!$A:$A,料率マスタ!$B:$B,,-1,-1)</f>
        <v/>
      </c>
      <c r="H100" s="10">
        <f>XLOOKUP(DATE(A100,B100,1),料率マスタ!$A:$A,料率マスタ!$C:$C,,-1,-1)</f>
        <v/>
      </c>
      <c r="I100" s="10">
        <f>XLOOKUP(DATE(A100,B100,1),料率マスタ!$A:$A,料率マスタ!$D:$D,,-1,-1)</f>
        <v/>
      </c>
      <c r="J100" s="10">
        <f>XLOOKUP(DATE(A100,B100,1),料率マスタ!$A:$A,料率マスタ!$E:$E,,-1,-1)</f>
        <v/>
      </c>
      <c r="K100" s="10">
        <f>XLOOKUP(DATE(A100,B100,1),料率マスタ!$A:$A,料率マスタ!$F:$F,,-1,-1)</f>
        <v/>
      </c>
      <c r="L100" s="10">
        <f>G100+IF(D100,H100,0)</f>
        <v/>
      </c>
      <c r="M100" s="11">
        <f>E100*L100</f>
        <v/>
      </c>
      <c r="N100" s="11">
        <f>E100*K100</f>
        <v/>
      </c>
      <c r="O100" s="11">
        <f>E100*I100</f>
        <v/>
      </c>
      <c r="P100" s="11">
        <f>ROUNDDOWN(E100*J100,0)</f>
        <v/>
      </c>
      <c r="Q100" s="11">
        <f>ROUNDDOWN(ROUND(M100+N100,2),0)</f>
        <v/>
      </c>
      <c r="R100" s="11">
        <f>INT(M100/2)+IF(MOD(M100,2)&gt;1,1,0)+INT(N100/2)+IF(MOD(N100,2)&gt;1,1,0)</f>
        <v/>
      </c>
      <c r="S100" s="11">
        <f>Q100-R100</f>
        <v/>
      </c>
      <c r="T100" s="11">
        <f>ROUNDDOWN(O100,0)</f>
        <v/>
      </c>
      <c r="U100" s="11">
        <f>INT(O100/2)+IF(MOD(O100,2)&gt;1,1,0)</f>
        <v/>
      </c>
      <c r="V100" s="11">
        <f>T100-U100</f>
        <v/>
      </c>
      <c r="W100" s="11">
        <f>P100</f>
        <v/>
      </c>
      <c r="X100" s="11">
        <f>W100</f>
        <v/>
      </c>
      <c r="Y100" s="11">
        <f>R100+U100</f>
        <v/>
      </c>
      <c r="Z100" s="11">
        <f>S100+V100+X100</f>
        <v/>
      </c>
      <c r="AA100" s="11">
        <f>Q100+T100+W100</f>
        <v/>
      </c>
      <c r="AB100" s="11">
        <f>F100-Y100</f>
        <v/>
      </c>
      <c r="AC100" s="9" t="n"/>
      <c r="AD100" s="12">
        <f>IF(AC100="","",AA100-AC100)</f>
        <v/>
      </c>
    </row>
    <row r="101">
      <c r="A101" s="2" t="n">
        <v>2024</v>
      </c>
      <c r="B101" s="2" t="n">
        <v>9</v>
      </c>
      <c r="C101" s="8">
        <f>IF(設定!$B$3="","",DATEDIF(設定!$B$3,EOMONTH(DATE(A101,B101,1),0),"Y"))</f>
        <v/>
      </c>
      <c r="D101" s="8">
        <f>IF(設定!$B$3="",FALSE,AND(EOMONTH(DATE(A101,B101,1),0)&gt;=DATE(YEAR(設定!$B$3)+40,MONTH(設定!$B$3),DAY(設定!$B$3))-1,EOMONTH(DATE(A101,B101,1),0)&lt;DATE(YEAR(設定!$B$3)+65,MONTH(設定!$B$3),DAY(設定!$B$3))-1))</f>
        <v/>
      </c>
      <c r="E101" s="9" t="n">
        <v>88000</v>
      </c>
      <c r="F101" s="9" t="n">
        <v>83000</v>
      </c>
      <c r="G101" s="10">
        <f>XLOOKUP(DATE(A101,B101,1),料率マスタ!$A:$A,料率マスタ!$B:$B,,-1,-1)</f>
        <v/>
      </c>
      <c r="H101" s="10">
        <f>XLOOKUP(DATE(A101,B101,1),料率マスタ!$A:$A,料率マスタ!$C:$C,,-1,-1)</f>
        <v/>
      </c>
      <c r="I101" s="10">
        <f>XLOOKUP(DATE(A101,B101,1),料率マスタ!$A:$A,料率マスタ!$D:$D,,-1,-1)</f>
        <v/>
      </c>
      <c r="J101" s="10">
        <f>XLOOKUP(DATE(A101,B101,1),料率マスタ!$A:$A,料率マスタ!$E:$E,,-1,-1)</f>
        <v/>
      </c>
      <c r="K101" s="10">
        <f>XLOOKUP(DATE(A101,B101,1),料率マスタ!$A:$A,料率マスタ!$F:$F,,-1,-1)</f>
        <v/>
      </c>
      <c r="L101" s="10">
        <f>G101+IF(D101,H101,0)</f>
        <v/>
      </c>
      <c r="M101" s="11">
        <f>E101*L101</f>
        <v/>
      </c>
      <c r="N101" s="11">
        <f>E101*K101</f>
        <v/>
      </c>
      <c r="O101" s="11">
        <f>E101*I101</f>
        <v/>
      </c>
      <c r="P101" s="11">
        <f>ROUNDDOWN(E101*J101,0)</f>
        <v/>
      </c>
      <c r="Q101" s="11">
        <f>ROUNDDOWN(ROUND(M101+N101,2),0)</f>
        <v/>
      </c>
      <c r="R101" s="11">
        <f>INT(M101/2)+IF(MOD(M101,2)&gt;1,1,0)+INT(N101/2)+IF(MOD(N101,2)&gt;1,1,0)</f>
        <v/>
      </c>
      <c r="S101" s="11">
        <f>Q101-R101</f>
        <v/>
      </c>
      <c r="T101" s="11">
        <f>ROUNDDOWN(O101,0)</f>
        <v/>
      </c>
      <c r="U101" s="11">
        <f>INT(O101/2)+IF(MOD(O101,2)&gt;1,1,0)</f>
        <v/>
      </c>
      <c r="V101" s="11">
        <f>T101-U101</f>
        <v/>
      </c>
      <c r="W101" s="11">
        <f>P101</f>
        <v/>
      </c>
      <c r="X101" s="11">
        <f>W101</f>
        <v/>
      </c>
      <c r="Y101" s="11">
        <f>R101+U101</f>
        <v/>
      </c>
      <c r="Z101" s="11">
        <f>S101+V101+X101</f>
        <v/>
      </c>
      <c r="AA101" s="11">
        <f>Q101+T101+W101</f>
        <v/>
      </c>
      <c r="AB101" s="11">
        <f>F101-Y101</f>
        <v/>
      </c>
      <c r="AC101" s="9" t="n"/>
      <c r="AD101" s="12">
        <f>IF(AC101="","",AA101-AC101)</f>
        <v/>
      </c>
    </row>
    <row r="102">
      <c r="A102" s="2" t="n">
        <v>2024</v>
      </c>
      <c r="B102" s="2" t="n">
        <v>10</v>
      </c>
      <c r="C102" s="8">
        <f>IF(設定!$B$3="","",DATEDIF(設定!$B$3,EOMONTH(DATE(A102,B102,1),0),"Y"))</f>
        <v/>
      </c>
      <c r="D102" s="8">
        <f>IF(設定!$B$3="",FALSE,AND(EOMONTH(DATE(A102,B102,1),0)&gt;=DATE(YEAR(設定!$B$3)+40,MONTH(設定!$B$3),DAY(設定!$B$3))-1,EOMONTH(DATE(A102,B102,1),0)&lt;DATE(YEAR(設定!$B$3)+65,MONTH(設定!$B$3),DAY(設定!$B$3))-1))</f>
        <v/>
      </c>
      <c r="E102" s="9" t="n">
        <v>88000</v>
      </c>
      <c r="F102" s="9" t="n">
        <v>83000</v>
      </c>
      <c r="G102" s="10">
        <f>XLOOKUP(DATE(A102,B102,1),料率マスタ!$A:$A,料率マスタ!$B:$B,,-1,-1)</f>
        <v/>
      </c>
      <c r="H102" s="10">
        <f>XLOOKUP(DATE(A102,B102,1),料率マスタ!$A:$A,料率マスタ!$C:$C,,-1,-1)</f>
        <v/>
      </c>
      <c r="I102" s="10">
        <f>XLOOKUP(DATE(A102,B102,1),料率マスタ!$A:$A,料率マスタ!$D:$D,,-1,-1)</f>
        <v/>
      </c>
      <c r="J102" s="10">
        <f>XLOOKUP(DATE(A102,B102,1),料率マスタ!$A:$A,料率マスタ!$E:$E,,-1,-1)</f>
        <v/>
      </c>
      <c r="K102" s="10">
        <f>XLOOKUP(DATE(A102,B102,1),料率マスタ!$A:$A,料率マスタ!$F:$F,,-1,-1)</f>
        <v/>
      </c>
      <c r="L102" s="10">
        <f>G102+IF(D102,H102,0)</f>
        <v/>
      </c>
      <c r="M102" s="11">
        <f>E102*L102</f>
        <v/>
      </c>
      <c r="N102" s="11">
        <f>E102*K102</f>
        <v/>
      </c>
      <c r="O102" s="11">
        <f>E102*I102</f>
        <v/>
      </c>
      <c r="P102" s="11">
        <f>ROUNDDOWN(E102*J102,0)</f>
        <v/>
      </c>
      <c r="Q102" s="11">
        <f>ROUNDDOWN(ROUND(M102+N102,2),0)</f>
        <v/>
      </c>
      <c r="R102" s="11">
        <f>INT(M102/2)+IF(MOD(M102,2)&gt;1,1,0)+INT(N102/2)+IF(MOD(N102,2)&gt;1,1,0)</f>
        <v/>
      </c>
      <c r="S102" s="11">
        <f>Q102-R102</f>
        <v/>
      </c>
      <c r="T102" s="11">
        <f>ROUNDDOWN(O102,0)</f>
        <v/>
      </c>
      <c r="U102" s="11">
        <f>INT(O102/2)+IF(MOD(O102,2)&gt;1,1,0)</f>
        <v/>
      </c>
      <c r="V102" s="11">
        <f>T102-U102</f>
        <v/>
      </c>
      <c r="W102" s="11">
        <f>P102</f>
        <v/>
      </c>
      <c r="X102" s="11">
        <f>W102</f>
        <v/>
      </c>
      <c r="Y102" s="11">
        <f>R102+U102</f>
        <v/>
      </c>
      <c r="Z102" s="11">
        <f>S102+V102+X102</f>
        <v/>
      </c>
      <c r="AA102" s="11">
        <f>Q102+T102+W102</f>
        <v/>
      </c>
      <c r="AB102" s="11">
        <f>F102-Y102</f>
        <v/>
      </c>
      <c r="AC102" s="9" t="n"/>
      <c r="AD102" s="12">
        <f>IF(AC102="","",AA102-AC102)</f>
        <v/>
      </c>
    </row>
    <row r="103">
      <c r="A103" s="2" t="n">
        <v>2024</v>
      </c>
      <c r="B103" s="2" t="n">
        <v>11</v>
      </c>
      <c r="C103" s="8">
        <f>IF(設定!$B$3="","",DATEDIF(設定!$B$3,EOMONTH(DATE(A103,B103,1),0),"Y"))</f>
        <v/>
      </c>
      <c r="D103" s="8">
        <f>IF(設定!$B$3="",FALSE,AND(EOMONTH(DATE(A103,B103,1),0)&gt;=DATE(YEAR(設定!$B$3)+40,MONTH(設定!$B$3),DAY(設定!$B$3))-1,EOMONTH(DATE(A103,B103,1),0)&lt;DATE(YEAR(設定!$B$3)+65,MONTH(設定!$B$3),DAY(設定!$B$3))-1))</f>
        <v/>
      </c>
      <c r="E103" s="9" t="n">
        <v>88000</v>
      </c>
      <c r="F103" s="9" t="n">
        <v>83000</v>
      </c>
      <c r="G103" s="10">
        <f>XLOOKUP(DATE(A103,B103,1),料率マスタ!$A:$A,料率マスタ!$B:$B,,-1,-1)</f>
        <v/>
      </c>
      <c r="H103" s="10">
        <f>XLOOKUP(DATE(A103,B103,1),料率マスタ!$A:$A,料率マスタ!$C:$C,,-1,-1)</f>
        <v/>
      </c>
      <c r="I103" s="10">
        <f>XLOOKUP(DATE(A103,B103,1),料率マスタ!$A:$A,料率マスタ!$D:$D,,-1,-1)</f>
        <v/>
      </c>
      <c r="J103" s="10">
        <f>XLOOKUP(DATE(A103,B103,1),料率マスタ!$A:$A,料率マスタ!$E:$E,,-1,-1)</f>
        <v/>
      </c>
      <c r="K103" s="10">
        <f>XLOOKUP(DATE(A103,B103,1),料率マスタ!$A:$A,料率マスタ!$F:$F,,-1,-1)</f>
        <v/>
      </c>
      <c r="L103" s="10">
        <f>G103+IF(D103,H103,0)</f>
        <v/>
      </c>
      <c r="M103" s="11">
        <f>E103*L103</f>
        <v/>
      </c>
      <c r="N103" s="11">
        <f>E103*K103</f>
        <v/>
      </c>
      <c r="O103" s="11">
        <f>E103*I103</f>
        <v/>
      </c>
      <c r="P103" s="11">
        <f>ROUNDDOWN(E103*J103,0)</f>
        <v/>
      </c>
      <c r="Q103" s="11">
        <f>ROUNDDOWN(ROUND(M103+N103,2),0)</f>
        <v/>
      </c>
      <c r="R103" s="11">
        <f>INT(M103/2)+IF(MOD(M103,2)&gt;1,1,0)+INT(N103/2)+IF(MOD(N103,2)&gt;1,1,0)</f>
        <v/>
      </c>
      <c r="S103" s="11">
        <f>Q103-R103</f>
        <v/>
      </c>
      <c r="T103" s="11">
        <f>ROUNDDOWN(O103,0)</f>
        <v/>
      </c>
      <c r="U103" s="11">
        <f>INT(O103/2)+IF(MOD(O103,2)&gt;1,1,0)</f>
        <v/>
      </c>
      <c r="V103" s="11">
        <f>T103-U103</f>
        <v/>
      </c>
      <c r="W103" s="11">
        <f>P103</f>
        <v/>
      </c>
      <c r="X103" s="11">
        <f>W103</f>
        <v/>
      </c>
      <c r="Y103" s="11">
        <f>R103+U103</f>
        <v/>
      </c>
      <c r="Z103" s="11">
        <f>S103+V103+X103</f>
        <v/>
      </c>
      <c r="AA103" s="11">
        <f>Q103+T103+W103</f>
        <v/>
      </c>
      <c r="AB103" s="11">
        <f>F103-Y103</f>
        <v/>
      </c>
      <c r="AC103" s="9" t="n"/>
      <c r="AD103" s="12">
        <f>IF(AC103="","",AA103-AC103)</f>
        <v/>
      </c>
    </row>
    <row r="104">
      <c r="A104" s="2" t="n">
        <v>2024</v>
      </c>
      <c r="B104" s="2" t="n">
        <v>12</v>
      </c>
      <c r="C104" s="8">
        <f>IF(設定!$B$3="","",DATEDIF(設定!$B$3,EOMONTH(DATE(A104,B104,1),0),"Y"))</f>
        <v/>
      </c>
      <c r="D104" s="8">
        <f>IF(設定!$B$3="",FALSE,AND(EOMONTH(DATE(A104,B104,1),0)&gt;=DATE(YEAR(設定!$B$3)+40,MONTH(設定!$B$3),DAY(設定!$B$3))-1,EOMONTH(DATE(A104,B104,1),0)&lt;DATE(YEAR(設定!$B$3)+65,MONTH(設定!$B$3),DAY(設定!$B$3))-1))</f>
        <v/>
      </c>
      <c r="E104" s="9" t="n">
        <v>88000</v>
      </c>
      <c r="F104" s="9" t="n">
        <v>83000</v>
      </c>
      <c r="G104" s="10">
        <f>XLOOKUP(DATE(A104,B104,1),料率マスタ!$A:$A,料率マスタ!$B:$B,,-1,-1)</f>
        <v/>
      </c>
      <c r="H104" s="10">
        <f>XLOOKUP(DATE(A104,B104,1),料率マスタ!$A:$A,料率マスタ!$C:$C,,-1,-1)</f>
        <v/>
      </c>
      <c r="I104" s="10">
        <f>XLOOKUP(DATE(A104,B104,1),料率マスタ!$A:$A,料率マスタ!$D:$D,,-1,-1)</f>
        <v/>
      </c>
      <c r="J104" s="10">
        <f>XLOOKUP(DATE(A104,B104,1),料率マスタ!$A:$A,料率マスタ!$E:$E,,-1,-1)</f>
        <v/>
      </c>
      <c r="K104" s="10">
        <f>XLOOKUP(DATE(A104,B104,1),料率マスタ!$A:$A,料率マスタ!$F:$F,,-1,-1)</f>
        <v/>
      </c>
      <c r="L104" s="10">
        <f>G104+IF(D104,H104,0)</f>
        <v/>
      </c>
      <c r="M104" s="11">
        <f>E104*L104</f>
        <v/>
      </c>
      <c r="N104" s="11">
        <f>E104*K104</f>
        <v/>
      </c>
      <c r="O104" s="11">
        <f>E104*I104</f>
        <v/>
      </c>
      <c r="P104" s="11">
        <f>ROUNDDOWN(E104*J104,0)</f>
        <v/>
      </c>
      <c r="Q104" s="11">
        <f>ROUNDDOWN(ROUND(M104+N104,2),0)</f>
        <v/>
      </c>
      <c r="R104" s="11">
        <f>INT(M104/2)+IF(MOD(M104,2)&gt;1,1,0)+INT(N104/2)+IF(MOD(N104,2)&gt;1,1,0)</f>
        <v/>
      </c>
      <c r="S104" s="11">
        <f>Q104-R104</f>
        <v/>
      </c>
      <c r="T104" s="11">
        <f>ROUNDDOWN(O104,0)</f>
        <v/>
      </c>
      <c r="U104" s="11">
        <f>INT(O104/2)+IF(MOD(O104,2)&gt;1,1,0)</f>
        <v/>
      </c>
      <c r="V104" s="11">
        <f>T104-U104</f>
        <v/>
      </c>
      <c r="W104" s="11">
        <f>P104</f>
        <v/>
      </c>
      <c r="X104" s="11">
        <f>W104</f>
        <v/>
      </c>
      <c r="Y104" s="11">
        <f>R104+U104</f>
        <v/>
      </c>
      <c r="Z104" s="11">
        <f>S104+V104+X104</f>
        <v/>
      </c>
      <c r="AA104" s="11">
        <f>Q104+T104+W104</f>
        <v/>
      </c>
      <c r="AB104" s="11">
        <f>F104-Y104</f>
        <v/>
      </c>
      <c r="AC104" s="9" t="n"/>
      <c r="AD104" s="12">
        <f>IF(AC104="","",AA104-AC104)</f>
        <v/>
      </c>
    </row>
    <row r="105">
      <c r="A105" s="2" t="n">
        <v>2025</v>
      </c>
      <c r="B105" s="2" t="n">
        <v>1</v>
      </c>
      <c r="C105" s="8">
        <f>IF(設定!$B$3="","",DATEDIF(設定!$B$3,EOMONTH(DATE(A105,B105,1),0),"Y"))</f>
        <v/>
      </c>
      <c r="D105" s="8">
        <f>IF(設定!$B$3="",FALSE,AND(EOMONTH(DATE(A105,B105,1),0)&gt;=DATE(YEAR(設定!$B$3)+40,MONTH(設定!$B$3),DAY(設定!$B$3))-1,EOMONTH(DATE(A105,B105,1),0)&lt;DATE(YEAR(設定!$B$3)+65,MONTH(設定!$B$3),DAY(設定!$B$3))-1))</f>
        <v/>
      </c>
      <c r="E105" s="9" t="n">
        <v>88000</v>
      </c>
      <c r="F105" s="9" t="n">
        <v>83000</v>
      </c>
      <c r="G105" s="10">
        <f>XLOOKUP(DATE(A105,B105,1),料率マスタ!$A:$A,料率マスタ!$B:$B,,-1,-1)</f>
        <v/>
      </c>
      <c r="H105" s="10">
        <f>XLOOKUP(DATE(A105,B105,1),料率マスタ!$A:$A,料率マスタ!$C:$C,,-1,-1)</f>
        <v/>
      </c>
      <c r="I105" s="10">
        <f>XLOOKUP(DATE(A105,B105,1),料率マスタ!$A:$A,料率マスタ!$D:$D,,-1,-1)</f>
        <v/>
      </c>
      <c r="J105" s="10">
        <f>XLOOKUP(DATE(A105,B105,1),料率マスタ!$A:$A,料率マスタ!$E:$E,,-1,-1)</f>
        <v/>
      </c>
      <c r="K105" s="10">
        <f>XLOOKUP(DATE(A105,B105,1),料率マスタ!$A:$A,料率マスタ!$F:$F,,-1,-1)</f>
        <v/>
      </c>
      <c r="L105" s="10">
        <f>G105+IF(D105,H105,0)</f>
        <v/>
      </c>
      <c r="M105" s="11">
        <f>E105*L105</f>
        <v/>
      </c>
      <c r="N105" s="11">
        <f>E105*K105</f>
        <v/>
      </c>
      <c r="O105" s="11">
        <f>E105*I105</f>
        <v/>
      </c>
      <c r="P105" s="11">
        <f>ROUNDDOWN(E105*J105,0)</f>
        <v/>
      </c>
      <c r="Q105" s="11">
        <f>ROUNDDOWN(ROUND(M105+N105,2),0)</f>
        <v/>
      </c>
      <c r="R105" s="11">
        <f>INT(M105/2)+IF(MOD(M105,2)&gt;1,1,0)+INT(N105/2)+IF(MOD(N105,2)&gt;1,1,0)</f>
        <v/>
      </c>
      <c r="S105" s="11">
        <f>Q105-R105</f>
        <v/>
      </c>
      <c r="T105" s="11">
        <f>ROUNDDOWN(O105,0)</f>
        <v/>
      </c>
      <c r="U105" s="11">
        <f>INT(O105/2)+IF(MOD(O105,2)&gt;1,1,0)</f>
        <v/>
      </c>
      <c r="V105" s="11">
        <f>T105-U105</f>
        <v/>
      </c>
      <c r="W105" s="11">
        <f>P105</f>
        <v/>
      </c>
      <c r="X105" s="11">
        <f>W105</f>
        <v/>
      </c>
      <c r="Y105" s="11">
        <f>R105+U105</f>
        <v/>
      </c>
      <c r="Z105" s="11">
        <f>S105+V105+X105</f>
        <v/>
      </c>
      <c r="AA105" s="11">
        <f>Q105+T105+W105</f>
        <v/>
      </c>
      <c r="AB105" s="11">
        <f>F105-Y105</f>
        <v/>
      </c>
      <c r="AC105" s="9" t="n"/>
      <c r="AD105" s="12">
        <f>IF(AC105="","",AA105-AC105)</f>
        <v/>
      </c>
    </row>
    <row r="106">
      <c r="A106" s="2" t="n">
        <v>2025</v>
      </c>
      <c r="B106" s="2" t="n">
        <v>2</v>
      </c>
      <c r="C106" s="8">
        <f>IF(設定!$B$3="","",DATEDIF(設定!$B$3,EOMONTH(DATE(A106,B106,1),0),"Y"))</f>
        <v/>
      </c>
      <c r="D106" s="8">
        <f>IF(設定!$B$3="",FALSE,AND(EOMONTH(DATE(A106,B106,1),0)&gt;=DATE(YEAR(設定!$B$3)+40,MONTH(設定!$B$3),DAY(設定!$B$3))-1,EOMONTH(DATE(A106,B106,1),0)&lt;DATE(YEAR(設定!$B$3)+65,MONTH(設定!$B$3),DAY(設定!$B$3))-1))</f>
        <v/>
      </c>
      <c r="E106" s="9" t="n">
        <v>88000</v>
      </c>
      <c r="F106" s="9" t="n">
        <v>83000</v>
      </c>
      <c r="G106" s="10">
        <f>XLOOKUP(DATE(A106,B106,1),料率マスタ!$A:$A,料率マスタ!$B:$B,,-1,-1)</f>
        <v/>
      </c>
      <c r="H106" s="10">
        <f>XLOOKUP(DATE(A106,B106,1),料率マスタ!$A:$A,料率マスタ!$C:$C,,-1,-1)</f>
        <v/>
      </c>
      <c r="I106" s="10">
        <f>XLOOKUP(DATE(A106,B106,1),料率マスタ!$A:$A,料率マスタ!$D:$D,,-1,-1)</f>
        <v/>
      </c>
      <c r="J106" s="10">
        <f>XLOOKUP(DATE(A106,B106,1),料率マスタ!$A:$A,料率マスタ!$E:$E,,-1,-1)</f>
        <v/>
      </c>
      <c r="K106" s="10">
        <f>XLOOKUP(DATE(A106,B106,1),料率マスタ!$A:$A,料率マスタ!$F:$F,,-1,-1)</f>
        <v/>
      </c>
      <c r="L106" s="10">
        <f>G106+IF(D106,H106,0)</f>
        <v/>
      </c>
      <c r="M106" s="11">
        <f>E106*L106</f>
        <v/>
      </c>
      <c r="N106" s="11">
        <f>E106*K106</f>
        <v/>
      </c>
      <c r="O106" s="11">
        <f>E106*I106</f>
        <v/>
      </c>
      <c r="P106" s="11">
        <f>ROUNDDOWN(E106*J106,0)</f>
        <v/>
      </c>
      <c r="Q106" s="11">
        <f>ROUNDDOWN(ROUND(M106+N106,2),0)</f>
        <v/>
      </c>
      <c r="R106" s="11">
        <f>INT(M106/2)+IF(MOD(M106,2)&gt;1,1,0)+INT(N106/2)+IF(MOD(N106,2)&gt;1,1,0)</f>
        <v/>
      </c>
      <c r="S106" s="11">
        <f>Q106-R106</f>
        <v/>
      </c>
      <c r="T106" s="11">
        <f>ROUNDDOWN(O106,0)</f>
        <v/>
      </c>
      <c r="U106" s="11">
        <f>INT(O106/2)+IF(MOD(O106,2)&gt;1,1,0)</f>
        <v/>
      </c>
      <c r="V106" s="11">
        <f>T106-U106</f>
        <v/>
      </c>
      <c r="W106" s="11">
        <f>P106</f>
        <v/>
      </c>
      <c r="X106" s="11">
        <f>W106</f>
        <v/>
      </c>
      <c r="Y106" s="11">
        <f>R106+U106</f>
        <v/>
      </c>
      <c r="Z106" s="11">
        <f>S106+V106+X106</f>
        <v/>
      </c>
      <c r="AA106" s="11">
        <f>Q106+T106+W106</f>
        <v/>
      </c>
      <c r="AB106" s="11">
        <f>F106-Y106</f>
        <v/>
      </c>
      <c r="AC106" s="9" t="n"/>
      <c r="AD106" s="12">
        <f>IF(AC106="","",AA106-AC106)</f>
        <v/>
      </c>
    </row>
    <row r="107">
      <c r="A107" s="2" t="n">
        <v>2025</v>
      </c>
      <c r="B107" s="2" t="n">
        <v>3</v>
      </c>
      <c r="C107" s="8">
        <f>IF(設定!$B$3="","",DATEDIF(設定!$B$3,EOMONTH(DATE(A107,B107,1),0),"Y"))</f>
        <v/>
      </c>
      <c r="D107" s="8">
        <f>IF(設定!$B$3="",FALSE,AND(EOMONTH(DATE(A107,B107,1),0)&gt;=DATE(YEAR(設定!$B$3)+40,MONTH(設定!$B$3),DAY(設定!$B$3))-1,EOMONTH(DATE(A107,B107,1),0)&lt;DATE(YEAR(設定!$B$3)+65,MONTH(設定!$B$3),DAY(設定!$B$3))-1))</f>
        <v/>
      </c>
      <c r="E107" s="9" t="n">
        <v>88000</v>
      </c>
      <c r="F107" s="9" t="n">
        <v>83000</v>
      </c>
      <c r="G107" s="10">
        <f>XLOOKUP(DATE(A107,B107,1),料率マスタ!$A:$A,料率マスタ!$B:$B,,-1,-1)</f>
        <v/>
      </c>
      <c r="H107" s="10">
        <f>XLOOKUP(DATE(A107,B107,1),料率マスタ!$A:$A,料率マスタ!$C:$C,,-1,-1)</f>
        <v/>
      </c>
      <c r="I107" s="10">
        <f>XLOOKUP(DATE(A107,B107,1),料率マスタ!$A:$A,料率マスタ!$D:$D,,-1,-1)</f>
        <v/>
      </c>
      <c r="J107" s="10">
        <f>XLOOKUP(DATE(A107,B107,1),料率マスタ!$A:$A,料率マスタ!$E:$E,,-1,-1)</f>
        <v/>
      </c>
      <c r="K107" s="10">
        <f>XLOOKUP(DATE(A107,B107,1),料率マスタ!$A:$A,料率マスタ!$F:$F,,-1,-1)</f>
        <v/>
      </c>
      <c r="L107" s="10">
        <f>G107+IF(D107,H107,0)</f>
        <v/>
      </c>
      <c r="M107" s="11">
        <f>E107*L107</f>
        <v/>
      </c>
      <c r="N107" s="11">
        <f>E107*K107</f>
        <v/>
      </c>
      <c r="O107" s="11">
        <f>E107*I107</f>
        <v/>
      </c>
      <c r="P107" s="11">
        <f>ROUNDDOWN(E107*J107,0)</f>
        <v/>
      </c>
      <c r="Q107" s="11">
        <f>ROUNDDOWN(ROUND(M107+N107,2),0)</f>
        <v/>
      </c>
      <c r="R107" s="11">
        <f>INT(M107/2)+IF(MOD(M107,2)&gt;1,1,0)+INT(N107/2)+IF(MOD(N107,2)&gt;1,1,0)</f>
        <v/>
      </c>
      <c r="S107" s="11">
        <f>Q107-R107</f>
        <v/>
      </c>
      <c r="T107" s="11">
        <f>ROUNDDOWN(O107,0)</f>
        <v/>
      </c>
      <c r="U107" s="11">
        <f>INT(O107/2)+IF(MOD(O107,2)&gt;1,1,0)</f>
        <v/>
      </c>
      <c r="V107" s="11">
        <f>T107-U107</f>
        <v/>
      </c>
      <c r="W107" s="11">
        <f>P107</f>
        <v/>
      </c>
      <c r="X107" s="11">
        <f>W107</f>
        <v/>
      </c>
      <c r="Y107" s="11">
        <f>R107+U107</f>
        <v/>
      </c>
      <c r="Z107" s="11">
        <f>S107+V107+X107</f>
        <v/>
      </c>
      <c r="AA107" s="11">
        <f>Q107+T107+W107</f>
        <v/>
      </c>
      <c r="AB107" s="11">
        <f>F107-Y107</f>
        <v/>
      </c>
      <c r="AC107" s="9" t="n"/>
      <c r="AD107" s="12">
        <f>IF(AC107="","",AA107-AC107)</f>
        <v/>
      </c>
    </row>
    <row r="108">
      <c r="A108" s="2" t="n">
        <v>2025</v>
      </c>
      <c r="B108" s="2" t="n">
        <v>4</v>
      </c>
      <c r="C108" s="8">
        <f>IF(設定!$B$3="","",DATEDIF(設定!$B$3,EOMONTH(DATE(A108,B108,1),0),"Y"))</f>
        <v/>
      </c>
      <c r="D108" s="8">
        <f>IF(設定!$B$3="",FALSE,AND(EOMONTH(DATE(A108,B108,1),0)&gt;=DATE(YEAR(設定!$B$3)+40,MONTH(設定!$B$3),DAY(設定!$B$3))-1,EOMONTH(DATE(A108,B108,1),0)&lt;DATE(YEAR(設定!$B$3)+65,MONTH(設定!$B$3),DAY(設定!$B$3))-1))</f>
        <v/>
      </c>
      <c r="E108" s="9" t="n">
        <v>88000</v>
      </c>
      <c r="F108" s="9" t="n">
        <v>83000</v>
      </c>
      <c r="G108" s="10">
        <f>XLOOKUP(DATE(A108,B108,1),料率マスタ!$A:$A,料率マスタ!$B:$B,,-1,-1)</f>
        <v/>
      </c>
      <c r="H108" s="10">
        <f>XLOOKUP(DATE(A108,B108,1),料率マスタ!$A:$A,料率マスタ!$C:$C,,-1,-1)</f>
        <v/>
      </c>
      <c r="I108" s="10">
        <f>XLOOKUP(DATE(A108,B108,1),料率マスタ!$A:$A,料率マスタ!$D:$D,,-1,-1)</f>
        <v/>
      </c>
      <c r="J108" s="10">
        <f>XLOOKUP(DATE(A108,B108,1),料率マスタ!$A:$A,料率マスタ!$E:$E,,-1,-1)</f>
        <v/>
      </c>
      <c r="K108" s="10">
        <f>XLOOKUP(DATE(A108,B108,1),料率マスタ!$A:$A,料率マスタ!$F:$F,,-1,-1)</f>
        <v/>
      </c>
      <c r="L108" s="10">
        <f>G108+IF(D108,H108,0)</f>
        <v/>
      </c>
      <c r="M108" s="11">
        <f>E108*L108</f>
        <v/>
      </c>
      <c r="N108" s="11">
        <f>E108*K108</f>
        <v/>
      </c>
      <c r="O108" s="11">
        <f>E108*I108</f>
        <v/>
      </c>
      <c r="P108" s="11">
        <f>ROUNDDOWN(E108*J108,0)</f>
        <v/>
      </c>
      <c r="Q108" s="11">
        <f>ROUNDDOWN(ROUND(M108+N108,2),0)</f>
        <v/>
      </c>
      <c r="R108" s="11">
        <f>INT(M108/2)+IF(MOD(M108,2)&gt;1,1,0)+INT(N108/2)+IF(MOD(N108,2)&gt;1,1,0)</f>
        <v/>
      </c>
      <c r="S108" s="11">
        <f>Q108-R108</f>
        <v/>
      </c>
      <c r="T108" s="11">
        <f>ROUNDDOWN(O108,0)</f>
        <v/>
      </c>
      <c r="U108" s="11">
        <f>INT(O108/2)+IF(MOD(O108,2)&gt;1,1,0)</f>
        <v/>
      </c>
      <c r="V108" s="11">
        <f>T108-U108</f>
        <v/>
      </c>
      <c r="W108" s="11">
        <f>P108</f>
        <v/>
      </c>
      <c r="X108" s="11">
        <f>W108</f>
        <v/>
      </c>
      <c r="Y108" s="11">
        <f>R108+U108</f>
        <v/>
      </c>
      <c r="Z108" s="11">
        <f>S108+V108+X108</f>
        <v/>
      </c>
      <c r="AA108" s="11">
        <f>Q108+T108+W108</f>
        <v/>
      </c>
      <c r="AB108" s="11">
        <f>F108-Y108</f>
        <v/>
      </c>
      <c r="AC108" s="9" t="n"/>
      <c r="AD108" s="12">
        <f>IF(AC108="","",AA108-AC108)</f>
        <v/>
      </c>
    </row>
    <row r="109">
      <c r="A109" s="2" t="n">
        <v>2025</v>
      </c>
      <c r="B109" s="2" t="n">
        <v>5</v>
      </c>
      <c r="C109" s="8">
        <f>IF(設定!$B$3="","",DATEDIF(設定!$B$3,EOMONTH(DATE(A109,B109,1),0),"Y"))</f>
        <v/>
      </c>
      <c r="D109" s="8">
        <f>IF(設定!$B$3="",FALSE,AND(EOMONTH(DATE(A109,B109,1),0)&gt;=DATE(YEAR(設定!$B$3)+40,MONTH(設定!$B$3),DAY(設定!$B$3))-1,EOMONTH(DATE(A109,B109,1),0)&lt;DATE(YEAR(設定!$B$3)+65,MONTH(設定!$B$3),DAY(設定!$B$3))-1))</f>
        <v/>
      </c>
      <c r="E109" s="9" t="n">
        <v>88000</v>
      </c>
      <c r="F109" s="9" t="n">
        <v>83000</v>
      </c>
      <c r="G109" s="10">
        <f>XLOOKUP(DATE(A109,B109,1),料率マスタ!$A:$A,料率マスタ!$B:$B,,-1,-1)</f>
        <v/>
      </c>
      <c r="H109" s="10">
        <f>XLOOKUP(DATE(A109,B109,1),料率マスタ!$A:$A,料率マスタ!$C:$C,,-1,-1)</f>
        <v/>
      </c>
      <c r="I109" s="10">
        <f>XLOOKUP(DATE(A109,B109,1),料率マスタ!$A:$A,料率マスタ!$D:$D,,-1,-1)</f>
        <v/>
      </c>
      <c r="J109" s="10">
        <f>XLOOKUP(DATE(A109,B109,1),料率マスタ!$A:$A,料率マスタ!$E:$E,,-1,-1)</f>
        <v/>
      </c>
      <c r="K109" s="10">
        <f>XLOOKUP(DATE(A109,B109,1),料率マスタ!$A:$A,料率マスタ!$F:$F,,-1,-1)</f>
        <v/>
      </c>
      <c r="L109" s="10">
        <f>G109+IF(D109,H109,0)</f>
        <v/>
      </c>
      <c r="M109" s="11">
        <f>E109*L109</f>
        <v/>
      </c>
      <c r="N109" s="11">
        <f>E109*K109</f>
        <v/>
      </c>
      <c r="O109" s="11">
        <f>E109*I109</f>
        <v/>
      </c>
      <c r="P109" s="11">
        <f>ROUNDDOWN(E109*J109,0)</f>
        <v/>
      </c>
      <c r="Q109" s="11">
        <f>ROUNDDOWN(ROUND(M109+N109,2),0)</f>
        <v/>
      </c>
      <c r="R109" s="11">
        <f>INT(M109/2)+IF(MOD(M109,2)&gt;1,1,0)+INT(N109/2)+IF(MOD(N109,2)&gt;1,1,0)</f>
        <v/>
      </c>
      <c r="S109" s="11">
        <f>Q109-R109</f>
        <v/>
      </c>
      <c r="T109" s="11">
        <f>ROUNDDOWN(O109,0)</f>
        <v/>
      </c>
      <c r="U109" s="11">
        <f>INT(O109/2)+IF(MOD(O109,2)&gt;1,1,0)</f>
        <v/>
      </c>
      <c r="V109" s="11">
        <f>T109-U109</f>
        <v/>
      </c>
      <c r="W109" s="11">
        <f>P109</f>
        <v/>
      </c>
      <c r="X109" s="11">
        <f>W109</f>
        <v/>
      </c>
      <c r="Y109" s="11">
        <f>R109+U109</f>
        <v/>
      </c>
      <c r="Z109" s="11">
        <f>S109+V109+X109</f>
        <v/>
      </c>
      <c r="AA109" s="11">
        <f>Q109+T109+W109</f>
        <v/>
      </c>
      <c r="AB109" s="11">
        <f>F109-Y109</f>
        <v/>
      </c>
      <c r="AC109" s="9" t="n"/>
      <c r="AD109" s="12">
        <f>IF(AC109="","",AA109-AC109)</f>
        <v/>
      </c>
    </row>
    <row r="110">
      <c r="A110" s="2" t="n">
        <v>2025</v>
      </c>
      <c r="B110" s="2" t="n">
        <v>6</v>
      </c>
      <c r="C110" s="8">
        <f>IF(設定!$B$3="","",DATEDIF(設定!$B$3,EOMONTH(DATE(A110,B110,1),0),"Y"))</f>
        <v/>
      </c>
      <c r="D110" s="8">
        <f>IF(設定!$B$3="",FALSE,AND(EOMONTH(DATE(A110,B110,1),0)&gt;=DATE(YEAR(設定!$B$3)+40,MONTH(設定!$B$3),DAY(設定!$B$3))-1,EOMONTH(DATE(A110,B110,1),0)&lt;DATE(YEAR(設定!$B$3)+65,MONTH(設定!$B$3),DAY(設定!$B$3))-1))</f>
        <v/>
      </c>
      <c r="E110" s="9" t="n">
        <v>88000</v>
      </c>
      <c r="F110" s="9" t="n">
        <v>83000</v>
      </c>
      <c r="G110" s="10">
        <f>XLOOKUP(DATE(A110,B110,1),料率マスタ!$A:$A,料率マスタ!$B:$B,,-1,-1)</f>
        <v/>
      </c>
      <c r="H110" s="10">
        <f>XLOOKUP(DATE(A110,B110,1),料率マスタ!$A:$A,料率マスタ!$C:$C,,-1,-1)</f>
        <v/>
      </c>
      <c r="I110" s="10">
        <f>XLOOKUP(DATE(A110,B110,1),料率マスタ!$A:$A,料率マスタ!$D:$D,,-1,-1)</f>
        <v/>
      </c>
      <c r="J110" s="10">
        <f>XLOOKUP(DATE(A110,B110,1),料率マスタ!$A:$A,料率マスタ!$E:$E,,-1,-1)</f>
        <v/>
      </c>
      <c r="K110" s="10">
        <f>XLOOKUP(DATE(A110,B110,1),料率マスタ!$A:$A,料率マスタ!$F:$F,,-1,-1)</f>
        <v/>
      </c>
      <c r="L110" s="10">
        <f>G110+IF(D110,H110,0)</f>
        <v/>
      </c>
      <c r="M110" s="11">
        <f>E110*L110</f>
        <v/>
      </c>
      <c r="N110" s="11">
        <f>E110*K110</f>
        <v/>
      </c>
      <c r="O110" s="11">
        <f>E110*I110</f>
        <v/>
      </c>
      <c r="P110" s="11">
        <f>ROUNDDOWN(E110*J110,0)</f>
        <v/>
      </c>
      <c r="Q110" s="11">
        <f>ROUNDDOWN(ROUND(M110+N110,2),0)</f>
        <v/>
      </c>
      <c r="R110" s="11">
        <f>INT(M110/2)+IF(MOD(M110,2)&gt;1,1,0)+INT(N110/2)+IF(MOD(N110,2)&gt;1,1,0)</f>
        <v/>
      </c>
      <c r="S110" s="11">
        <f>Q110-R110</f>
        <v/>
      </c>
      <c r="T110" s="11">
        <f>ROUNDDOWN(O110,0)</f>
        <v/>
      </c>
      <c r="U110" s="11">
        <f>INT(O110/2)+IF(MOD(O110,2)&gt;1,1,0)</f>
        <v/>
      </c>
      <c r="V110" s="11">
        <f>T110-U110</f>
        <v/>
      </c>
      <c r="W110" s="11">
        <f>P110</f>
        <v/>
      </c>
      <c r="X110" s="11">
        <f>W110</f>
        <v/>
      </c>
      <c r="Y110" s="11">
        <f>R110+U110</f>
        <v/>
      </c>
      <c r="Z110" s="11">
        <f>S110+V110+X110</f>
        <v/>
      </c>
      <c r="AA110" s="11">
        <f>Q110+T110+W110</f>
        <v/>
      </c>
      <c r="AB110" s="11">
        <f>F110-Y110</f>
        <v/>
      </c>
      <c r="AC110" s="9" t="n"/>
      <c r="AD110" s="12">
        <f>IF(AC110="","",AA110-AC110)</f>
        <v/>
      </c>
    </row>
    <row r="111">
      <c r="A111" s="2" t="n">
        <v>2025</v>
      </c>
      <c r="B111" s="2" t="n">
        <v>7</v>
      </c>
      <c r="C111" s="8">
        <f>IF(設定!$B$3="","",DATEDIF(設定!$B$3,EOMONTH(DATE(A111,B111,1),0),"Y"))</f>
        <v/>
      </c>
      <c r="D111" s="8">
        <f>IF(設定!$B$3="",FALSE,AND(EOMONTH(DATE(A111,B111,1),0)&gt;=DATE(YEAR(設定!$B$3)+40,MONTH(設定!$B$3),DAY(設定!$B$3))-1,EOMONTH(DATE(A111,B111,1),0)&lt;DATE(YEAR(設定!$B$3)+65,MONTH(設定!$B$3),DAY(設定!$B$3))-1))</f>
        <v/>
      </c>
      <c r="E111" s="9" t="n">
        <v>88000</v>
      </c>
      <c r="F111" s="9" t="n">
        <v>83000</v>
      </c>
      <c r="G111" s="10">
        <f>XLOOKUP(DATE(A111,B111,1),料率マスタ!$A:$A,料率マスタ!$B:$B,,-1,-1)</f>
        <v/>
      </c>
      <c r="H111" s="10">
        <f>XLOOKUP(DATE(A111,B111,1),料率マスタ!$A:$A,料率マスタ!$C:$C,,-1,-1)</f>
        <v/>
      </c>
      <c r="I111" s="10">
        <f>XLOOKUP(DATE(A111,B111,1),料率マスタ!$A:$A,料率マスタ!$D:$D,,-1,-1)</f>
        <v/>
      </c>
      <c r="J111" s="10">
        <f>XLOOKUP(DATE(A111,B111,1),料率マスタ!$A:$A,料率マスタ!$E:$E,,-1,-1)</f>
        <v/>
      </c>
      <c r="K111" s="10">
        <f>XLOOKUP(DATE(A111,B111,1),料率マスタ!$A:$A,料率マスタ!$F:$F,,-1,-1)</f>
        <v/>
      </c>
      <c r="L111" s="10">
        <f>G111+IF(D111,H111,0)</f>
        <v/>
      </c>
      <c r="M111" s="11">
        <f>E111*L111</f>
        <v/>
      </c>
      <c r="N111" s="11">
        <f>E111*K111</f>
        <v/>
      </c>
      <c r="O111" s="11">
        <f>E111*I111</f>
        <v/>
      </c>
      <c r="P111" s="11">
        <f>ROUNDDOWN(E111*J111,0)</f>
        <v/>
      </c>
      <c r="Q111" s="11">
        <f>ROUNDDOWN(ROUND(M111+N111,2),0)</f>
        <v/>
      </c>
      <c r="R111" s="11">
        <f>INT(M111/2)+IF(MOD(M111,2)&gt;1,1,0)+INT(N111/2)+IF(MOD(N111,2)&gt;1,1,0)</f>
        <v/>
      </c>
      <c r="S111" s="11">
        <f>Q111-R111</f>
        <v/>
      </c>
      <c r="T111" s="11">
        <f>ROUNDDOWN(O111,0)</f>
        <v/>
      </c>
      <c r="U111" s="11">
        <f>INT(O111/2)+IF(MOD(O111,2)&gt;1,1,0)</f>
        <v/>
      </c>
      <c r="V111" s="11">
        <f>T111-U111</f>
        <v/>
      </c>
      <c r="W111" s="11">
        <f>P111</f>
        <v/>
      </c>
      <c r="X111" s="11">
        <f>W111</f>
        <v/>
      </c>
      <c r="Y111" s="11">
        <f>R111+U111</f>
        <v/>
      </c>
      <c r="Z111" s="11">
        <f>S111+V111+X111</f>
        <v/>
      </c>
      <c r="AA111" s="11">
        <f>Q111+T111+W111</f>
        <v/>
      </c>
      <c r="AB111" s="11">
        <f>F111-Y111</f>
        <v/>
      </c>
      <c r="AC111" s="9" t="n"/>
      <c r="AD111" s="12">
        <f>IF(AC111="","",AA111-AC111)</f>
        <v/>
      </c>
    </row>
    <row r="112">
      <c r="A112" s="2" t="n">
        <v>2025</v>
      </c>
      <c r="B112" s="2" t="n">
        <v>8</v>
      </c>
      <c r="C112" s="8">
        <f>IF(設定!$B$3="","",DATEDIF(設定!$B$3,EOMONTH(DATE(A112,B112,1),0),"Y"))</f>
        <v/>
      </c>
      <c r="D112" s="8">
        <f>IF(設定!$B$3="",FALSE,AND(EOMONTH(DATE(A112,B112,1),0)&gt;=DATE(YEAR(設定!$B$3)+40,MONTH(設定!$B$3),DAY(設定!$B$3))-1,EOMONTH(DATE(A112,B112,1),0)&lt;DATE(YEAR(設定!$B$3)+65,MONTH(設定!$B$3),DAY(設定!$B$3))-1))</f>
        <v/>
      </c>
      <c r="E112" s="9" t="n">
        <v>88000</v>
      </c>
      <c r="F112" s="9" t="n">
        <v>83000</v>
      </c>
      <c r="G112" s="10">
        <f>XLOOKUP(DATE(A112,B112,1),料率マスタ!$A:$A,料率マスタ!$B:$B,,-1,-1)</f>
        <v/>
      </c>
      <c r="H112" s="10">
        <f>XLOOKUP(DATE(A112,B112,1),料率マスタ!$A:$A,料率マスタ!$C:$C,,-1,-1)</f>
        <v/>
      </c>
      <c r="I112" s="10">
        <f>XLOOKUP(DATE(A112,B112,1),料率マスタ!$A:$A,料率マスタ!$D:$D,,-1,-1)</f>
        <v/>
      </c>
      <c r="J112" s="10">
        <f>XLOOKUP(DATE(A112,B112,1),料率マスタ!$A:$A,料率マスタ!$E:$E,,-1,-1)</f>
        <v/>
      </c>
      <c r="K112" s="10">
        <f>XLOOKUP(DATE(A112,B112,1),料率マスタ!$A:$A,料率マスタ!$F:$F,,-1,-1)</f>
        <v/>
      </c>
      <c r="L112" s="10">
        <f>G112+IF(D112,H112,0)</f>
        <v/>
      </c>
      <c r="M112" s="11">
        <f>E112*L112</f>
        <v/>
      </c>
      <c r="N112" s="11">
        <f>E112*K112</f>
        <v/>
      </c>
      <c r="O112" s="11">
        <f>E112*I112</f>
        <v/>
      </c>
      <c r="P112" s="11">
        <f>ROUNDDOWN(E112*J112,0)</f>
        <v/>
      </c>
      <c r="Q112" s="11">
        <f>ROUNDDOWN(ROUND(M112+N112,2),0)</f>
        <v/>
      </c>
      <c r="R112" s="11">
        <f>INT(M112/2)+IF(MOD(M112,2)&gt;1,1,0)+INT(N112/2)+IF(MOD(N112,2)&gt;1,1,0)</f>
        <v/>
      </c>
      <c r="S112" s="11">
        <f>Q112-R112</f>
        <v/>
      </c>
      <c r="T112" s="11">
        <f>ROUNDDOWN(O112,0)</f>
        <v/>
      </c>
      <c r="U112" s="11">
        <f>INT(O112/2)+IF(MOD(O112,2)&gt;1,1,0)</f>
        <v/>
      </c>
      <c r="V112" s="11">
        <f>T112-U112</f>
        <v/>
      </c>
      <c r="W112" s="11">
        <f>P112</f>
        <v/>
      </c>
      <c r="X112" s="11">
        <f>W112</f>
        <v/>
      </c>
      <c r="Y112" s="11">
        <f>R112+U112</f>
        <v/>
      </c>
      <c r="Z112" s="11">
        <f>S112+V112+X112</f>
        <v/>
      </c>
      <c r="AA112" s="11">
        <f>Q112+T112+W112</f>
        <v/>
      </c>
      <c r="AB112" s="11">
        <f>F112-Y112</f>
        <v/>
      </c>
      <c r="AC112" s="9" t="n"/>
      <c r="AD112" s="12">
        <f>IF(AC112="","",AA112-AC112)</f>
        <v/>
      </c>
    </row>
    <row r="113">
      <c r="A113" s="2" t="n">
        <v>2025</v>
      </c>
      <c r="B113" s="2" t="n">
        <v>9</v>
      </c>
      <c r="C113" s="8">
        <f>IF(設定!$B$3="","",DATEDIF(設定!$B$3,EOMONTH(DATE(A113,B113,1),0),"Y"))</f>
        <v/>
      </c>
      <c r="D113" s="8">
        <f>IF(設定!$B$3="",FALSE,AND(EOMONTH(DATE(A113,B113,1),0)&gt;=DATE(YEAR(設定!$B$3)+40,MONTH(設定!$B$3),DAY(設定!$B$3))-1,EOMONTH(DATE(A113,B113,1),0)&lt;DATE(YEAR(設定!$B$3)+65,MONTH(設定!$B$3),DAY(設定!$B$3))-1))</f>
        <v/>
      </c>
      <c r="E113" s="9" t="n">
        <v>88000</v>
      </c>
      <c r="F113" s="9" t="n">
        <v>83000</v>
      </c>
      <c r="G113" s="10">
        <f>XLOOKUP(DATE(A113,B113,1),料率マスタ!$A:$A,料率マスタ!$B:$B,,-1,-1)</f>
        <v/>
      </c>
      <c r="H113" s="10">
        <f>XLOOKUP(DATE(A113,B113,1),料率マスタ!$A:$A,料率マスタ!$C:$C,,-1,-1)</f>
        <v/>
      </c>
      <c r="I113" s="10">
        <f>XLOOKUP(DATE(A113,B113,1),料率マスタ!$A:$A,料率マスタ!$D:$D,,-1,-1)</f>
        <v/>
      </c>
      <c r="J113" s="10">
        <f>XLOOKUP(DATE(A113,B113,1),料率マスタ!$A:$A,料率マスタ!$E:$E,,-1,-1)</f>
        <v/>
      </c>
      <c r="K113" s="10">
        <f>XLOOKUP(DATE(A113,B113,1),料率マスタ!$A:$A,料率マスタ!$F:$F,,-1,-1)</f>
        <v/>
      </c>
      <c r="L113" s="10">
        <f>G113+IF(D113,H113,0)</f>
        <v/>
      </c>
      <c r="M113" s="11">
        <f>E113*L113</f>
        <v/>
      </c>
      <c r="N113" s="11">
        <f>E113*K113</f>
        <v/>
      </c>
      <c r="O113" s="11">
        <f>E113*I113</f>
        <v/>
      </c>
      <c r="P113" s="11">
        <f>ROUNDDOWN(E113*J113,0)</f>
        <v/>
      </c>
      <c r="Q113" s="11">
        <f>ROUNDDOWN(ROUND(M113+N113,2),0)</f>
        <v/>
      </c>
      <c r="R113" s="11">
        <f>INT(M113/2)+IF(MOD(M113,2)&gt;1,1,0)+INT(N113/2)+IF(MOD(N113,2)&gt;1,1,0)</f>
        <v/>
      </c>
      <c r="S113" s="11">
        <f>Q113-R113</f>
        <v/>
      </c>
      <c r="T113" s="11">
        <f>ROUNDDOWN(O113,0)</f>
        <v/>
      </c>
      <c r="U113" s="11">
        <f>INT(O113/2)+IF(MOD(O113,2)&gt;1,1,0)</f>
        <v/>
      </c>
      <c r="V113" s="11">
        <f>T113-U113</f>
        <v/>
      </c>
      <c r="W113" s="11">
        <f>P113</f>
        <v/>
      </c>
      <c r="X113" s="11">
        <f>W113</f>
        <v/>
      </c>
      <c r="Y113" s="11">
        <f>R113+U113</f>
        <v/>
      </c>
      <c r="Z113" s="11">
        <f>S113+V113+X113</f>
        <v/>
      </c>
      <c r="AA113" s="11">
        <f>Q113+T113+W113</f>
        <v/>
      </c>
      <c r="AB113" s="11">
        <f>F113-Y113</f>
        <v/>
      </c>
      <c r="AC113" s="9" t="n"/>
      <c r="AD113" s="12">
        <f>IF(AC113="","",AA113-AC113)</f>
        <v/>
      </c>
    </row>
    <row r="114">
      <c r="A114" s="2" t="n">
        <v>2025</v>
      </c>
      <c r="B114" s="2" t="n">
        <v>10</v>
      </c>
      <c r="C114" s="8">
        <f>IF(設定!$B$3="","",DATEDIF(設定!$B$3,EOMONTH(DATE(A114,B114,1),0),"Y"))</f>
        <v/>
      </c>
      <c r="D114" s="8">
        <f>IF(設定!$B$3="",FALSE,AND(EOMONTH(DATE(A114,B114,1),0)&gt;=DATE(YEAR(設定!$B$3)+40,MONTH(設定!$B$3),DAY(設定!$B$3))-1,EOMONTH(DATE(A114,B114,1),0)&lt;DATE(YEAR(設定!$B$3)+65,MONTH(設定!$B$3),DAY(設定!$B$3))-1))</f>
        <v/>
      </c>
      <c r="E114" s="9" t="n">
        <v>88000</v>
      </c>
      <c r="F114" s="9" t="n">
        <v>83000</v>
      </c>
      <c r="G114" s="10">
        <f>XLOOKUP(DATE(A114,B114,1),料率マスタ!$A:$A,料率マスタ!$B:$B,,-1,-1)</f>
        <v/>
      </c>
      <c r="H114" s="10">
        <f>XLOOKUP(DATE(A114,B114,1),料率マスタ!$A:$A,料率マスタ!$C:$C,,-1,-1)</f>
        <v/>
      </c>
      <c r="I114" s="10">
        <f>XLOOKUP(DATE(A114,B114,1),料率マスタ!$A:$A,料率マスタ!$D:$D,,-1,-1)</f>
        <v/>
      </c>
      <c r="J114" s="10">
        <f>XLOOKUP(DATE(A114,B114,1),料率マスタ!$A:$A,料率マスタ!$E:$E,,-1,-1)</f>
        <v/>
      </c>
      <c r="K114" s="10">
        <f>XLOOKUP(DATE(A114,B114,1),料率マスタ!$A:$A,料率マスタ!$F:$F,,-1,-1)</f>
        <v/>
      </c>
      <c r="L114" s="10">
        <f>G114+IF(D114,H114,0)</f>
        <v/>
      </c>
      <c r="M114" s="11">
        <f>E114*L114</f>
        <v/>
      </c>
      <c r="N114" s="11">
        <f>E114*K114</f>
        <v/>
      </c>
      <c r="O114" s="11">
        <f>E114*I114</f>
        <v/>
      </c>
      <c r="P114" s="11">
        <f>ROUNDDOWN(E114*J114,0)</f>
        <v/>
      </c>
      <c r="Q114" s="11">
        <f>ROUNDDOWN(ROUND(M114+N114,2),0)</f>
        <v/>
      </c>
      <c r="R114" s="11">
        <f>INT(M114/2)+IF(MOD(M114,2)&gt;1,1,0)+INT(N114/2)+IF(MOD(N114,2)&gt;1,1,0)</f>
        <v/>
      </c>
      <c r="S114" s="11">
        <f>Q114-R114</f>
        <v/>
      </c>
      <c r="T114" s="11">
        <f>ROUNDDOWN(O114,0)</f>
        <v/>
      </c>
      <c r="U114" s="11">
        <f>INT(O114/2)+IF(MOD(O114,2)&gt;1,1,0)</f>
        <v/>
      </c>
      <c r="V114" s="11">
        <f>T114-U114</f>
        <v/>
      </c>
      <c r="W114" s="11">
        <f>P114</f>
        <v/>
      </c>
      <c r="X114" s="11">
        <f>W114</f>
        <v/>
      </c>
      <c r="Y114" s="11">
        <f>R114+U114</f>
        <v/>
      </c>
      <c r="Z114" s="11">
        <f>S114+V114+X114</f>
        <v/>
      </c>
      <c r="AA114" s="11">
        <f>Q114+T114+W114</f>
        <v/>
      </c>
      <c r="AB114" s="11">
        <f>F114-Y114</f>
        <v/>
      </c>
      <c r="AC114" s="9" t="n"/>
      <c r="AD114" s="12">
        <f>IF(AC114="","",AA114-AC114)</f>
        <v/>
      </c>
    </row>
    <row r="115">
      <c r="A115" s="2" t="n">
        <v>2025</v>
      </c>
      <c r="B115" s="2" t="n">
        <v>11</v>
      </c>
      <c r="C115" s="8">
        <f>IF(設定!$B$3="","",DATEDIF(設定!$B$3,EOMONTH(DATE(A115,B115,1),0),"Y"))</f>
        <v/>
      </c>
      <c r="D115" s="8">
        <f>IF(設定!$B$3="",FALSE,AND(EOMONTH(DATE(A115,B115,1),0)&gt;=DATE(YEAR(設定!$B$3)+40,MONTH(設定!$B$3),DAY(設定!$B$3))-1,EOMONTH(DATE(A115,B115,1),0)&lt;DATE(YEAR(設定!$B$3)+65,MONTH(設定!$B$3),DAY(設定!$B$3))-1))</f>
        <v/>
      </c>
      <c r="E115" s="9" t="n">
        <v>88000</v>
      </c>
      <c r="F115" s="9" t="n">
        <v>83000</v>
      </c>
      <c r="G115" s="10">
        <f>XLOOKUP(DATE(A115,B115,1),料率マスタ!$A:$A,料率マスタ!$B:$B,,-1,-1)</f>
        <v/>
      </c>
      <c r="H115" s="10">
        <f>XLOOKUP(DATE(A115,B115,1),料率マスタ!$A:$A,料率マスタ!$C:$C,,-1,-1)</f>
        <v/>
      </c>
      <c r="I115" s="10">
        <f>XLOOKUP(DATE(A115,B115,1),料率マスタ!$A:$A,料率マスタ!$D:$D,,-1,-1)</f>
        <v/>
      </c>
      <c r="J115" s="10">
        <f>XLOOKUP(DATE(A115,B115,1),料率マスタ!$A:$A,料率マスタ!$E:$E,,-1,-1)</f>
        <v/>
      </c>
      <c r="K115" s="10">
        <f>XLOOKUP(DATE(A115,B115,1),料率マスタ!$A:$A,料率マスタ!$F:$F,,-1,-1)</f>
        <v/>
      </c>
      <c r="L115" s="10">
        <f>G115+IF(D115,H115,0)</f>
        <v/>
      </c>
      <c r="M115" s="11">
        <f>E115*L115</f>
        <v/>
      </c>
      <c r="N115" s="11">
        <f>E115*K115</f>
        <v/>
      </c>
      <c r="O115" s="11">
        <f>E115*I115</f>
        <v/>
      </c>
      <c r="P115" s="11">
        <f>ROUNDDOWN(E115*J115,0)</f>
        <v/>
      </c>
      <c r="Q115" s="11">
        <f>ROUNDDOWN(ROUND(M115+N115,2),0)</f>
        <v/>
      </c>
      <c r="R115" s="11">
        <f>INT(M115/2)+IF(MOD(M115,2)&gt;1,1,0)+INT(N115/2)+IF(MOD(N115,2)&gt;1,1,0)</f>
        <v/>
      </c>
      <c r="S115" s="11">
        <f>Q115-R115</f>
        <v/>
      </c>
      <c r="T115" s="11">
        <f>ROUNDDOWN(O115,0)</f>
        <v/>
      </c>
      <c r="U115" s="11">
        <f>INT(O115/2)+IF(MOD(O115,2)&gt;1,1,0)</f>
        <v/>
      </c>
      <c r="V115" s="11">
        <f>T115-U115</f>
        <v/>
      </c>
      <c r="W115" s="11">
        <f>P115</f>
        <v/>
      </c>
      <c r="X115" s="11">
        <f>W115</f>
        <v/>
      </c>
      <c r="Y115" s="11">
        <f>R115+U115</f>
        <v/>
      </c>
      <c r="Z115" s="11">
        <f>S115+V115+X115</f>
        <v/>
      </c>
      <c r="AA115" s="11">
        <f>Q115+T115+W115</f>
        <v/>
      </c>
      <c r="AB115" s="11">
        <f>F115-Y115</f>
        <v/>
      </c>
      <c r="AC115" s="9" t="n"/>
      <c r="AD115" s="12">
        <f>IF(AC115="","",AA115-AC115)</f>
        <v/>
      </c>
    </row>
    <row r="116">
      <c r="A116" s="2" t="n">
        <v>2025</v>
      </c>
      <c r="B116" s="2" t="n">
        <v>12</v>
      </c>
      <c r="C116" s="8">
        <f>IF(設定!$B$3="","",DATEDIF(設定!$B$3,EOMONTH(DATE(A116,B116,1),0),"Y"))</f>
        <v/>
      </c>
      <c r="D116" s="8">
        <f>IF(設定!$B$3="",FALSE,AND(EOMONTH(DATE(A116,B116,1),0)&gt;=DATE(YEAR(設定!$B$3)+40,MONTH(設定!$B$3),DAY(設定!$B$3))-1,EOMONTH(DATE(A116,B116,1),0)&lt;DATE(YEAR(設定!$B$3)+65,MONTH(設定!$B$3),DAY(設定!$B$3))-1))</f>
        <v/>
      </c>
      <c r="E116" s="9" t="n">
        <v>88000</v>
      </c>
      <c r="F116" s="9" t="n">
        <v>83000</v>
      </c>
      <c r="G116" s="10">
        <f>XLOOKUP(DATE(A116,B116,1),料率マスタ!$A:$A,料率マスタ!$B:$B,,-1,-1)</f>
        <v/>
      </c>
      <c r="H116" s="10">
        <f>XLOOKUP(DATE(A116,B116,1),料率マスタ!$A:$A,料率マスタ!$C:$C,,-1,-1)</f>
        <v/>
      </c>
      <c r="I116" s="10">
        <f>XLOOKUP(DATE(A116,B116,1),料率マスタ!$A:$A,料率マスタ!$D:$D,,-1,-1)</f>
        <v/>
      </c>
      <c r="J116" s="10">
        <f>XLOOKUP(DATE(A116,B116,1),料率マスタ!$A:$A,料率マスタ!$E:$E,,-1,-1)</f>
        <v/>
      </c>
      <c r="K116" s="10">
        <f>XLOOKUP(DATE(A116,B116,1),料率マスタ!$A:$A,料率マスタ!$F:$F,,-1,-1)</f>
        <v/>
      </c>
      <c r="L116" s="10">
        <f>G116+IF(D116,H116,0)</f>
        <v/>
      </c>
      <c r="M116" s="11">
        <f>E116*L116</f>
        <v/>
      </c>
      <c r="N116" s="11">
        <f>E116*K116</f>
        <v/>
      </c>
      <c r="O116" s="11">
        <f>E116*I116</f>
        <v/>
      </c>
      <c r="P116" s="11">
        <f>ROUNDDOWN(E116*J116,0)</f>
        <v/>
      </c>
      <c r="Q116" s="11">
        <f>ROUNDDOWN(ROUND(M116+N116,2),0)</f>
        <v/>
      </c>
      <c r="R116" s="11">
        <f>INT(M116/2)+IF(MOD(M116,2)&gt;1,1,0)+INT(N116/2)+IF(MOD(N116,2)&gt;1,1,0)</f>
        <v/>
      </c>
      <c r="S116" s="11">
        <f>Q116-R116</f>
        <v/>
      </c>
      <c r="T116" s="11">
        <f>ROUNDDOWN(O116,0)</f>
        <v/>
      </c>
      <c r="U116" s="11">
        <f>INT(O116/2)+IF(MOD(O116,2)&gt;1,1,0)</f>
        <v/>
      </c>
      <c r="V116" s="11">
        <f>T116-U116</f>
        <v/>
      </c>
      <c r="W116" s="11">
        <f>P116</f>
        <v/>
      </c>
      <c r="X116" s="11">
        <f>W116</f>
        <v/>
      </c>
      <c r="Y116" s="11">
        <f>R116+U116</f>
        <v/>
      </c>
      <c r="Z116" s="11">
        <f>S116+V116+X116</f>
        <v/>
      </c>
      <c r="AA116" s="11">
        <f>Q116+T116+W116</f>
        <v/>
      </c>
      <c r="AB116" s="11">
        <f>F116-Y116</f>
        <v/>
      </c>
      <c r="AC116" s="9" t="n"/>
      <c r="AD116" s="12">
        <f>IF(AC116="","",AA116-AC116)</f>
        <v/>
      </c>
    </row>
    <row r="117">
      <c r="A117" s="2" t="n">
        <v>2026</v>
      </c>
      <c r="B117" s="2" t="n">
        <v>1</v>
      </c>
      <c r="C117" s="8">
        <f>IF(設定!$B$3="","",DATEDIF(設定!$B$3,EOMONTH(DATE(A117,B117,1),0),"Y"))</f>
        <v/>
      </c>
      <c r="D117" s="8">
        <f>IF(設定!$B$3="",FALSE,AND(EOMONTH(DATE(A117,B117,1),0)&gt;=DATE(YEAR(設定!$B$3)+40,MONTH(設定!$B$3),DAY(設定!$B$3))-1,EOMONTH(DATE(A117,B117,1),0)&lt;DATE(YEAR(設定!$B$3)+65,MONTH(設定!$B$3),DAY(設定!$B$3))-1))</f>
        <v/>
      </c>
      <c r="E117" s="9" t="n">
        <v>88000</v>
      </c>
      <c r="F117" s="9" t="n">
        <v>83000</v>
      </c>
      <c r="G117" s="10">
        <f>XLOOKUP(DATE(A117,B117,1),料率マスタ!$A:$A,料率マスタ!$B:$B,,-1,-1)</f>
        <v/>
      </c>
      <c r="H117" s="10">
        <f>XLOOKUP(DATE(A117,B117,1),料率マスタ!$A:$A,料率マスタ!$C:$C,,-1,-1)</f>
        <v/>
      </c>
      <c r="I117" s="10">
        <f>XLOOKUP(DATE(A117,B117,1),料率マスタ!$A:$A,料率マスタ!$D:$D,,-1,-1)</f>
        <v/>
      </c>
      <c r="J117" s="10">
        <f>XLOOKUP(DATE(A117,B117,1),料率マスタ!$A:$A,料率マスタ!$E:$E,,-1,-1)</f>
        <v/>
      </c>
      <c r="K117" s="10">
        <f>XLOOKUP(DATE(A117,B117,1),料率マスタ!$A:$A,料率マスタ!$F:$F,,-1,-1)</f>
        <v/>
      </c>
      <c r="L117" s="10">
        <f>G117+IF(D117,H117,0)</f>
        <v/>
      </c>
      <c r="M117" s="11">
        <f>E117*L117</f>
        <v/>
      </c>
      <c r="N117" s="11">
        <f>E117*K117</f>
        <v/>
      </c>
      <c r="O117" s="11">
        <f>E117*I117</f>
        <v/>
      </c>
      <c r="P117" s="11">
        <f>ROUNDDOWN(E117*J117,0)</f>
        <v/>
      </c>
      <c r="Q117" s="11">
        <f>ROUNDDOWN(ROUND(M117+N117,2),0)</f>
        <v/>
      </c>
      <c r="R117" s="11">
        <f>INT(M117/2)+IF(MOD(M117,2)&gt;1,1,0)+INT(N117/2)+IF(MOD(N117,2)&gt;1,1,0)</f>
        <v/>
      </c>
      <c r="S117" s="11">
        <f>Q117-R117</f>
        <v/>
      </c>
      <c r="T117" s="11">
        <f>ROUNDDOWN(O117,0)</f>
        <v/>
      </c>
      <c r="U117" s="11">
        <f>INT(O117/2)+IF(MOD(O117,2)&gt;1,1,0)</f>
        <v/>
      </c>
      <c r="V117" s="11">
        <f>T117-U117</f>
        <v/>
      </c>
      <c r="W117" s="11">
        <f>P117</f>
        <v/>
      </c>
      <c r="X117" s="11">
        <f>W117</f>
        <v/>
      </c>
      <c r="Y117" s="11">
        <f>R117+U117</f>
        <v/>
      </c>
      <c r="Z117" s="11">
        <f>S117+V117+X117</f>
        <v/>
      </c>
      <c r="AA117" s="11">
        <f>Q117+T117+W117</f>
        <v/>
      </c>
      <c r="AB117" s="11">
        <f>F117-Y117</f>
        <v/>
      </c>
      <c r="AC117" s="9" t="n"/>
      <c r="AD117" s="12">
        <f>IF(AC117="","",AA117-AC117)</f>
        <v/>
      </c>
    </row>
    <row r="118">
      <c r="A118" s="2" t="n">
        <v>2026</v>
      </c>
      <c r="B118" s="2" t="n">
        <v>2</v>
      </c>
      <c r="C118" s="8">
        <f>IF(設定!$B$3="","",DATEDIF(設定!$B$3,EOMONTH(DATE(A118,B118,1),0),"Y"))</f>
        <v/>
      </c>
      <c r="D118" s="8">
        <f>IF(設定!$B$3="",FALSE,AND(EOMONTH(DATE(A118,B118,1),0)&gt;=DATE(YEAR(設定!$B$3)+40,MONTH(設定!$B$3),DAY(設定!$B$3))-1,EOMONTH(DATE(A118,B118,1),0)&lt;DATE(YEAR(設定!$B$3)+65,MONTH(設定!$B$3),DAY(設定!$B$3))-1))</f>
        <v/>
      </c>
      <c r="E118" s="9" t="n">
        <v>88000</v>
      </c>
      <c r="F118" s="9" t="n">
        <v>83000</v>
      </c>
      <c r="G118" s="10">
        <f>XLOOKUP(DATE(A118,B118,1),料率マスタ!$A:$A,料率マスタ!$B:$B,,-1,-1)</f>
        <v/>
      </c>
      <c r="H118" s="10">
        <f>XLOOKUP(DATE(A118,B118,1),料率マスタ!$A:$A,料率マスタ!$C:$C,,-1,-1)</f>
        <v/>
      </c>
      <c r="I118" s="10">
        <f>XLOOKUP(DATE(A118,B118,1),料率マスタ!$A:$A,料率マスタ!$D:$D,,-1,-1)</f>
        <v/>
      </c>
      <c r="J118" s="10">
        <f>XLOOKUP(DATE(A118,B118,1),料率マスタ!$A:$A,料率マスタ!$E:$E,,-1,-1)</f>
        <v/>
      </c>
      <c r="K118" s="10">
        <f>XLOOKUP(DATE(A118,B118,1),料率マスタ!$A:$A,料率マスタ!$F:$F,,-1,-1)</f>
        <v/>
      </c>
      <c r="L118" s="10">
        <f>G118+IF(D118,H118,0)</f>
        <v/>
      </c>
      <c r="M118" s="11">
        <f>E118*L118</f>
        <v/>
      </c>
      <c r="N118" s="11">
        <f>E118*K118</f>
        <v/>
      </c>
      <c r="O118" s="11">
        <f>E118*I118</f>
        <v/>
      </c>
      <c r="P118" s="11">
        <f>ROUNDDOWN(E118*J118,0)</f>
        <v/>
      </c>
      <c r="Q118" s="11">
        <f>ROUNDDOWN(ROUND(M118+N118,2),0)</f>
        <v/>
      </c>
      <c r="R118" s="11">
        <f>INT(M118/2)+IF(MOD(M118,2)&gt;1,1,0)+INT(N118/2)+IF(MOD(N118,2)&gt;1,1,0)</f>
        <v/>
      </c>
      <c r="S118" s="11">
        <f>Q118-R118</f>
        <v/>
      </c>
      <c r="T118" s="11">
        <f>ROUNDDOWN(O118,0)</f>
        <v/>
      </c>
      <c r="U118" s="11">
        <f>INT(O118/2)+IF(MOD(O118,2)&gt;1,1,0)</f>
        <v/>
      </c>
      <c r="V118" s="11">
        <f>T118-U118</f>
        <v/>
      </c>
      <c r="W118" s="11">
        <f>P118</f>
        <v/>
      </c>
      <c r="X118" s="11">
        <f>W118</f>
        <v/>
      </c>
      <c r="Y118" s="11">
        <f>R118+U118</f>
        <v/>
      </c>
      <c r="Z118" s="11">
        <f>S118+V118+X118</f>
        <v/>
      </c>
      <c r="AA118" s="11">
        <f>Q118+T118+W118</f>
        <v/>
      </c>
      <c r="AB118" s="11">
        <f>F118-Y118</f>
        <v/>
      </c>
      <c r="AC118" s="9" t="n"/>
      <c r="AD118" s="12">
        <f>IF(AC118="","",AA118-AC118)</f>
        <v/>
      </c>
    </row>
    <row r="119">
      <c r="A119" s="2" t="n">
        <v>2026</v>
      </c>
      <c r="B119" s="2" t="n">
        <v>3</v>
      </c>
      <c r="C119" s="8">
        <f>IF(設定!$B$3="","",DATEDIF(設定!$B$3,EOMONTH(DATE(A119,B119,1),0),"Y"))</f>
        <v/>
      </c>
      <c r="D119" s="8">
        <f>IF(設定!$B$3="",FALSE,AND(EOMONTH(DATE(A119,B119,1),0)&gt;=DATE(YEAR(設定!$B$3)+40,MONTH(設定!$B$3),DAY(設定!$B$3))-1,EOMONTH(DATE(A119,B119,1),0)&lt;DATE(YEAR(設定!$B$3)+65,MONTH(設定!$B$3),DAY(設定!$B$3))-1))</f>
        <v/>
      </c>
      <c r="E119" s="9" t="n">
        <v>88000</v>
      </c>
      <c r="F119" s="9" t="n">
        <v>83000</v>
      </c>
      <c r="G119" s="10">
        <f>XLOOKUP(DATE(A119,B119,1),料率マスタ!$A:$A,料率マスタ!$B:$B,,-1,-1)</f>
        <v/>
      </c>
      <c r="H119" s="10">
        <f>XLOOKUP(DATE(A119,B119,1),料率マスタ!$A:$A,料率マスタ!$C:$C,,-1,-1)</f>
        <v/>
      </c>
      <c r="I119" s="10">
        <f>XLOOKUP(DATE(A119,B119,1),料率マスタ!$A:$A,料率マスタ!$D:$D,,-1,-1)</f>
        <v/>
      </c>
      <c r="J119" s="10">
        <f>XLOOKUP(DATE(A119,B119,1),料率マスタ!$A:$A,料率マスタ!$E:$E,,-1,-1)</f>
        <v/>
      </c>
      <c r="K119" s="10">
        <f>XLOOKUP(DATE(A119,B119,1),料率マスタ!$A:$A,料率マスタ!$F:$F,,-1,-1)</f>
        <v/>
      </c>
      <c r="L119" s="10">
        <f>G119+IF(D119,H119,0)</f>
        <v/>
      </c>
      <c r="M119" s="11">
        <f>E119*L119</f>
        <v/>
      </c>
      <c r="N119" s="11">
        <f>E119*K119</f>
        <v/>
      </c>
      <c r="O119" s="11">
        <f>E119*I119</f>
        <v/>
      </c>
      <c r="P119" s="11">
        <f>ROUNDDOWN(E119*J119,0)</f>
        <v/>
      </c>
      <c r="Q119" s="11">
        <f>ROUNDDOWN(ROUND(M119+N119,2),0)</f>
        <v/>
      </c>
      <c r="R119" s="11">
        <f>INT(M119/2)+IF(MOD(M119,2)&gt;1,1,0)+INT(N119/2)+IF(MOD(N119,2)&gt;1,1,0)</f>
        <v/>
      </c>
      <c r="S119" s="11">
        <f>Q119-R119</f>
        <v/>
      </c>
      <c r="T119" s="11">
        <f>ROUNDDOWN(O119,0)</f>
        <v/>
      </c>
      <c r="U119" s="11">
        <f>INT(O119/2)+IF(MOD(O119,2)&gt;1,1,0)</f>
        <v/>
      </c>
      <c r="V119" s="11">
        <f>T119-U119</f>
        <v/>
      </c>
      <c r="W119" s="11">
        <f>P119</f>
        <v/>
      </c>
      <c r="X119" s="11">
        <f>W119</f>
        <v/>
      </c>
      <c r="Y119" s="11">
        <f>R119+U119</f>
        <v/>
      </c>
      <c r="Z119" s="11">
        <f>S119+V119+X119</f>
        <v/>
      </c>
      <c r="AA119" s="11">
        <f>Q119+T119+W119</f>
        <v/>
      </c>
      <c r="AB119" s="11">
        <f>F119-Y119</f>
        <v/>
      </c>
      <c r="AC119" s="9" t="n"/>
      <c r="AD119" s="12">
        <f>IF(AC119="","",AA119-AC119)</f>
        <v/>
      </c>
    </row>
    <row r="120">
      <c r="A120" s="2" t="n">
        <v>2026</v>
      </c>
      <c r="B120" s="2" t="n">
        <v>4</v>
      </c>
      <c r="C120" s="8">
        <f>IF(設定!$B$3="","",DATEDIF(設定!$B$3,EOMONTH(DATE(A120,B120,1),0),"Y"))</f>
        <v/>
      </c>
      <c r="D120" s="8">
        <f>IF(設定!$B$3="",FALSE,AND(EOMONTH(DATE(A120,B120,1),0)&gt;=DATE(YEAR(設定!$B$3)+40,MONTH(設定!$B$3),DAY(設定!$B$3))-1,EOMONTH(DATE(A120,B120,1),0)&lt;DATE(YEAR(設定!$B$3)+65,MONTH(設定!$B$3),DAY(設定!$B$3))-1))</f>
        <v/>
      </c>
      <c r="E120" s="9" t="n">
        <v>88000</v>
      </c>
      <c r="F120" s="9" t="n">
        <v>83000</v>
      </c>
      <c r="G120" s="10">
        <f>XLOOKUP(DATE(A120,B120,1),料率マスタ!$A:$A,料率マスタ!$B:$B,,-1,-1)</f>
        <v/>
      </c>
      <c r="H120" s="10">
        <f>XLOOKUP(DATE(A120,B120,1),料率マスタ!$A:$A,料率マスタ!$C:$C,,-1,-1)</f>
        <v/>
      </c>
      <c r="I120" s="10">
        <f>XLOOKUP(DATE(A120,B120,1),料率マスタ!$A:$A,料率マスタ!$D:$D,,-1,-1)</f>
        <v/>
      </c>
      <c r="J120" s="10">
        <f>XLOOKUP(DATE(A120,B120,1),料率マスタ!$A:$A,料率マスタ!$E:$E,,-1,-1)</f>
        <v/>
      </c>
      <c r="K120" s="10">
        <f>XLOOKUP(DATE(A120,B120,1),料率マスタ!$A:$A,料率マスタ!$F:$F,,-1,-1)</f>
        <v/>
      </c>
      <c r="L120" s="10">
        <f>G120+IF(D120,H120,0)</f>
        <v/>
      </c>
      <c r="M120" s="11">
        <f>E120*L120</f>
        <v/>
      </c>
      <c r="N120" s="11">
        <f>E120*K120</f>
        <v/>
      </c>
      <c r="O120" s="11">
        <f>E120*I120</f>
        <v/>
      </c>
      <c r="P120" s="11">
        <f>ROUNDDOWN(E120*J120,0)</f>
        <v/>
      </c>
      <c r="Q120" s="11">
        <f>ROUNDDOWN(ROUND(M120+N120,2),0)</f>
        <v/>
      </c>
      <c r="R120" s="11">
        <f>INT(M120/2)+IF(MOD(M120,2)&gt;1,1,0)+INT(N120/2)+IF(MOD(N120,2)&gt;1,1,0)</f>
        <v/>
      </c>
      <c r="S120" s="11">
        <f>Q120-R120</f>
        <v/>
      </c>
      <c r="T120" s="11">
        <f>ROUNDDOWN(O120,0)</f>
        <v/>
      </c>
      <c r="U120" s="11">
        <f>INT(O120/2)+IF(MOD(O120,2)&gt;1,1,0)</f>
        <v/>
      </c>
      <c r="V120" s="11">
        <f>T120-U120</f>
        <v/>
      </c>
      <c r="W120" s="11">
        <f>P120</f>
        <v/>
      </c>
      <c r="X120" s="11">
        <f>W120</f>
        <v/>
      </c>
      <c r="Y120" s="11">
        <f>R120+U120</f>
        <v/>
      </c>
      <c r="Z120" s="11">
        <f>S120+V120+X120</f>
        <v/>
      </c>
      <c r="AA120" s="11">
        <f>Q120+T120+W120</f>
        <v/>
      </c>
      <c r="AB120" s="11">
        <f>F120-Y120</f>
        <v/>
      </c>
      <c r="AC120" s="9" t="n"/>
      <c r="AD120" s="12">
        <f>IF(AC120="","",AA120-AC120)</f>
        <v/>
      </c>
    </row>
    <row r="121">
      <c r="A121" s="2" t="n">
        <v>2026</v>
      </c>
      <c r="B121" s="2" t="n">
        <v>5</v>
      </c>
      <c r="C121" s="8">
        <f>IF(設定!$B$3="","",DATEDIF(設定!$B$3,EOMONTH(DATE(A121,B121,1),0),"Y"))</f>
        <v/>
      </c>
      <c r="D121" s="8">
        <f>IF(設定!$B$3="",FALSE,AND(EOMONTH(DATE(A121,B121,1),0)&gt;=DATE(YEAR(設定!$B$3)+40,MONTH(設定!$B$3),DAY(設定!$B$3))-1,EOMONTH(DATE(A121,B121,1),0)&lt;DATE(YEAR(設定!$B$3)+65,MONTH(設定!$B$3),DAY(設定!$B$3))-1))</f>
        <v/>
      </c>
      <c r="E121" s="9" t="n">
        <v>88000</v>
      </c>
      <c r="F121" s="9" t="n">
        <v>83000</v>
      </c>
      <c r="G121" s="10">
        <f>XLOOKUP(DATE(A121,B121,1),料率マスタ!$A:$A,料率マスタ!$B:$B,,-1,-1)</f>
        <v/>
      </c>
      <c r="H121" s="10">
        <f>XLOOKUP(DATE(A121,B121,1),料率マスタ!$A:$A,料率マスタ!$C:$C,,-1,-1)</f>
        <v/>
      </c>
      <c r="I121" s="10">
        <f>XLOOKUP(DATE(A121,B121,1),料率マスタ!$A:$A,料率マスタ!$D:$D,,-1,-1)</f>
        <v/>
      </c>
      <c r="J121" s="10">
        <f>XLOOKUP(DATE(A121,B121,1),料率マスタ!$A:$A,料率マスタ!$E:$E,,-1,-1)</f>
        <v/>
      </c>
      <c r="K121" s="10">
        <f>XLOOKUP(DATE(A121,B121,1),料率マスタ!$A:$A,料率マスタ!$F:$F,,-1,-1)</f>
        <v/>
      </c>
      <c r="L121" s="10">
        <f>G121+IF(D121,H121,0)</f>
        <v/>
      </c>
      <c r="M121" s="11">
        <f>E121*L121</f>
        <v/>
      </c>
      <c r="N121" s="11">
        <f>E121*K121</f>
        <v/>
      </c>
      <c r="O121" s="11">
        <f>E121*I121</f>
        <v/>
      </c>
      <c r="P121" s="11">
        <f>ROUNDDOWN(E121*J121,0)</f>
        <v/>
      </c>
      <c r="Q121" s="11">
        <f>ROUNDDOWN(ROUND(M121+N121,2),0)</f>
        <v/>
      </c>
      <c r="R121" s="11">
        <f>INT(M121/2)+IF(MOD(M121,2)&gt;1,1,0)+INT(N121/2)+IF(MOD(N121,2)&gt;1,1,0)</f>
        <v/>
      </c>
      <c r="S121" s="11">
        <f>Q121-R121</f>
        <v/>
      </c>
      <c r="T121" s="11">
        <f>ROUNDDOWN(O121,0)</f>
        <v/>
      </c>
      <c r="U121" s="11">
        <f>INT(O121/2)+IF(MOD(O121,2)&gt;1,1,0)</f>
        <v/>
      </c>
      <c r="V121" s="11">
        <f>T121-U121</f>
        <v/>
      </c>
      <c r="W121" s="11">
        <f>P121</f>
        <v/>
      </c>
      <c r="X121" s="11">
        <f>W121</f>
        <v/>
      </c>
      <c r="Y121" s="11">
        <f>R121+U121</f>
        <v/>
      </c>
      <c r="Z121" s="11">
        <f>S121+V121+X121</f>
        <v/>
      </c>
      <c r="AA121" s="11">
        <f>Q121+T121+W121</f>
        <v/>
      </c>
      <c r="AB121" s="11">
        <f>F121-Y121</f>
        <v/>
      </c>
      <c r="AC121" s="9" t="n"/>
      <c r="AD121" s="12">
        <f>IF(AC121="","",AA121-AC121)</f>
        <v/>
      </c>
    </row>
    <row r="122">
      <c r="A122" s="2" t="n">
        <v>2026</v>
      </c>
      <c r="B122" s="2" t="n">
        <v>6</v>
      </c>
      <c r="C122" s="8">
        <f>IF(設定!$B$3="","",DATEDIF(設定!$B$3,EOMONTH(DATE(A122,B122,1),0),"Y"))</f>
        <v/>
      </c>
      <c r="D122" s="8">
        <f>IF(設定!$B$3="",FALSE,AND(EOMONTH(DATE(A122,B122,1),0)&gt;=DATE(YEAR(設定!$B$3)+40,MONTH(設定!$B$3),DAY(設定!$B$3))-1,EOMONTH(DATE(A122,B122,1),0)&lt;DATE(YEAR(設定!$B$3)+65,MONTH(設定!$B$3),DAY(設定!$B$3))-1))</f>
        <v/>
      </c>
      <c r="E122" s="9" t="n">
        <v>88000</v>
      </c>
      <c r="F122" s="9" t="n">
        <v>83000</v>
      </c>
      <c r="G122" s="10">
        <f>XLOOKUP(DATE(A122,B122,1),料率マスタ!$A:$A,料率マスタ!$B:$B,,-1,-1)</f>
        <v/>
      </c>
      <c r="H122" s="10">
        <f>XLOOKUP(DATE(A122,B122,1),料率マスタ!$A:$A,料率マスタ!$C:$C,,-1,-1)</f>
        <v/>
      </c>
      <c r="I122" s="10">
        <f>XLOOKUP(DATE(A122,B122,1),料率マスタ!$A:$A,料率マスタ!$D:$D,,-1,-1)</f>
        <v/>
      </c>
      <c r="J122" s="10">
        <f>XLOOKUP(DATE(A122,B122,1),料率マスタ!$A:$A,料率マスタ!$E:$E,,-1,-1)</f>
        <v/>
      </c>
      <c r="K122" s="10">
        <f>XLOOKUP(DATE(A122,B122,1),料率マスタ!$A:$A,料率マスタ!$F:$F,,-1,-1)</f>
        <v/>
      </c>
      <c r="L122" s="10">
        <f>G122+IF(D122,H122,0)</f>
        <v/>
      </c>
      <c r="M122" s="11">
        <f>E122*L122</f>
        <v/>
      </c>
      <c r="N122" s="11">
        <f>E122*K122</f>
        <v/>
      </c>
      <c r="O122" s="11">
        <f>E122*I122</f>
        <v/>
      </c>
      <c r="P122" s="11">
        <f>ROUNDDOWN(E122*J122,0)</f>
        <v/>
      </c>
      <c r="Q122" s="11">
        <f>ROUNDDOWN(ROUND(M122+N122,2),0)</f>
        <v/>
      </c>
      <c r="R122" s="11">
        <f>INT(M122/2)+IF(MOD(M122,2)&gt;1,1,0)+INT(N122/2)+IF(MOD(N122,2)&gt;1,1,0)</f>
        <v/>
      </c>
      <c r="S122" s="11">
        <f>Q122-R122</f>
        <v/>
      </c>
      <c r="T122" s="11">
        <f>ROUNDDOWN(O122,0)</f>
        <v/>
      </c>
      <c r="U122" s="11">
        <f>INT(O122/2)+IF(MOD(O122,2)&gt;1,1,0)</f>
        <v/>
      </c>
      <c r="V122" s="11">
        <f>T122-U122</f>
        <v/>
      </c>
      <c r="W122" s="11">
        <f>P122</f>
        <v/>
      </c>
      <c r="X122" s="11">
        <f>W122</f>
        <v/>
      </c>
      <c r="Y122" s="11">
        <f>R122+U122</f>
        <v/>
      </c>
      <c r="Z122" s="11">
        <f>S122+V122+X122</f>
        <v/>
      </c>
      <c r="AA122" s="11">
        <f>Q122+T122+W122</f>
        <v/>
      </c>
      <c r="AB122" s="11">
        <f>F122-Y122</f>
        <v/>
      </c>
      <c r="AC122" s="9" t="n"/>
      <c r="AD122" s="12">
        <f>IF(AC122="","",AA122-AC122)</f>
        <v/>
      </c>
    </row>
    <row r="123">
      <c r="A123" s="2" t="n">
        <v>2026</v>
      </c>
      <c r="B123" s="2" t="n">
        <v>7</v>
      </c>
      <c r="C123" s="8">
        <f>IF(設定!$B$3="","",DATEDIF(設定!$B$3,EOMONTH(DATE(A123,B123,1),0),"Y"))</f>
        <v/>
      </c>
      <c r="D123" s="8">
        <f>IF(設定!$B$3="",FALSE,AND(EOMONTH(DATE(A123,B123,1),0)&gt;=DATE(YEAR(設定!$B$3)+40,MONTH(設定!$B$3),DAY(設定!$B$3))-1,EOMONTH(DATE(A123,B123,1),0)&lt;DATE(YEAR(設定!$B$3)+65,MONTH(設定!$B$3),DAY(設定!$B$3))-1))</f>
        <v/>
      </c>
      <c r="E123" s="9" t="n">
        <v>88000</v>
      </c>
      <c r="F123" s="9" t="n">
        <v>83000</v>
      </c>
      <c r="G123" s="10">
        <f>XLOOKUP(DATE(A123,B123,1),料率マスタ!$A:$A,料率マスタ!$B:$B,,-1,-1)</f>
        <v/>
      </c>
      <c r="H123" s="10">
        <f>XLOOKUP(DATE(A123,B123,1),料率マスタ!$A:$A,料率マスタ!$C:$C,,-1,-1)</f>
        <v/>
      </c>
      <c r="I123" s="10">
        <f>XLOOKUP(DATE(A123,B123,1),料率マスタ!$A:$A,料率マスタ!$D:$D,,-1,-1)</f>
        <v/>
      </c>
      <c r="J123" s="10">
        <f>XLOOKUP(DATE(A123,B123,1),料率マスタ!$A:$A,料率マスタ!$E:$E,,-1,-1)</f>
        <v/>
      </c>
      <c r="K123" s="10">
        <f>XLOOKUP(DATE(A123,B123,1),料率マスタ!$A:$A,料率マスタ!$F:$F,,-1,-1)</f>
        <v/>
      </c>
      <c r="L123" s="10">
        <f>G123+IF(D123,H123,0)</f>
        <v/>
      </c>
      <c r="M123" s="11">
        <f>E123*L123</f>
        <v/>
      </c>
      <c r="N123" s="11">
        <f>E123*K123</f>
        <v/>
      </c>
      <c r="O123" s="11">
        <f>E123*I123</f>
        <v/>
      </c>
      <c r="P123" s="11">
        <f>ROUNDDOWN(E123*J123,0)</f>
        <v/>
      </c>
      <c r="Q123" s="11">
        <f>ROUNDDOWN(ROUND(M123+N123,2),0)</f>
        <v/>
      </c>
      <c r="R123" s="11">
        <f>INT(M123/2)+IF(MOD(M123,2)&gt;1,1,0)+INT(N123/2)+IF(MOD(N123,2)&gt;1,1,0)</f>
        <v/>
      </c>
      <c r="S123" s="11">
        <f>Q123-R123</f>
        <v/>
      </c>
      <c r="T123" s="11">
        <f>ROUNDDOWN(O123,0)</f>
        <v/>
      </c>
      <c r="U123" s="11">
        <f>INT(O123/2)+IF(MOD(O123,2)&gt;1,1,0)</f>
        <v/>
      </c>
      <c r="V123" s="11">
        <f>T123-U123</f>
        <v/>
      </c>
      <c r="W123" s="11">
        <f>P123</f>
        <v/>
      </c>
      <c r="X123" s="11">
        <f>W123</f>
        <v/>
      </c>
      <c r="Y123" s="11">
        <f>R123+U123</f>
        <v/>
      </c>
      <c r="Z123" s="11">
        <f>S123+V123+X123</f>
        <v/>
      </c>
      <c r="AA123" s="11">
        <f>Q123+T123+W123</f>
        <v/>
      </c>
      <c r="AB123" s="11">
        <f>F123-Y123</f>
        <v/>
      </c>
      <c r="AC123" s="9" t="n"/>
      <c r="AD123" s="12">
        <f>IF(AC123="","",AA123-AC123)</f>
        <v/>
      </c>
    </row>
    <row r="124">
      <c r="A124" s="2" t="n">
        <v>2026</v>
      </c>
      <c r="B124" s="2" t="n">
        <v>8</v>
      </c>
      <c r="C124" s="8">
        <f>IF(設定!$B$3="","",DATEDIF(設定!$B$3,EOMONTH(DATE(A124,B124,1),0),"Y"))</f>
        <v/>
      </c>
      <c r="D124" s="8">
        <f>IF(設定!$B$3="",FALSE,AND(EOMONTH(DATE(A124,B124,1),0)&gt;=DATE(YEAR(設定!$B$3)+40,MONTH(設定!$B$3),DAY(設定!$B$3))-1,EOMONTH(DATE(A124,B124,1),0)&lt;DATE(YEAR(設定!$B$3)+65,MONTH(設定!$B$3),DAY(設定!$B$3))-1))</f>
        <v/>
      </c>
      <c r="E124" s="9" t="n">
        <v>88000</v>
      </c>
      <c r="F124" s="9" t="n">
        <v>83000</v>
      </c>
      <c r="G124" s="10">
        <f>XLOOKUP(DATE(A124,B124,1),料率マスタ!$A:$A,料率マスタ!$B:$B,,-1,-1)</f>
        <v/>
      </c>
      <c r="H124" s="10">
        <f>XLOOKUP(DATE(A124,B124,1),料率マスタ!$A:$A,料率マスタ!$C:$C,,-1,-1)</f>
        <v/>
      </c>
      <c r="I124" s="10">
        <f>XLOOKUP(DATE(A124,B124,1),料率マスタ!$A:$A,料率マスタ!$D:$D,,-1,-1)</f>
        <v/>
      </c>
      <c r="J124" s="10">
        <f>XLOOKUP(DATE(A124,B124,1),料率マスタ!$A:$A,料率マスタ!$E:$E,,-1,-1)</f>
        <v/>
      </c>
      <c r="K124" s="10">
        <f>XLOOKUP(DATE(A124,B124,1),料率マスタ!$A:$A,料率マスタ!$F:$F,,-1,-1)</f>
        <v/>
      </c>
      <c r="L124" s="10">
        <f>G124+IF(D124,H124,0)</f>
        <v/>
      </c>
      <c r="M124" s="11">
        <f>E124*L124</f>
        <v/>
      </c>
      <c r="N124" s="11">
        <f>E124*K124</f>
        <v/>
      </c>
      <c r="O124" s="11">
        <f>E124*I124</f>
        <v/>
      </c>
      <c r="P124" s="11">
        <f>ROUNDDOWN(E124*J124,0)</f>
        <v/>
      </c>
      <c r="Q124" s="11">
        <f>ROUNDDOWN(ROUND(M124+N124,2),0)</f>
        <v/>
      </c>
      <c r="R124" s="11">
        <f>INT(M124/2)+IF(MOD(M124,2)&gt;1,1,0)+INT(N124/2)+IF(MOD(N124,2)&gt;1,1,0)</f>
        <v/>
      </c>
      <c r="S124" s="11">
        <f>Q124-R124</f>
        <v/>
      </c>
      <c r="T124" s="11">
        <f>ROUNDDOWN(O124,0)</f>
        <v/>
      </c>
      <c r="U124" s="11">
        <f>INT(O124/2)+IF(MOD(O124,2)&gt;1,1,0)</f>
        <v/>
      </c>
      <c r="V124" s="11">
        <f>T124-U124</f>
        <v/>
      </c>
      <c r="W124" s="11">
        <f>P124</f>
        <v/>
      </c>
      <c r="X124" s="11">
        <f>W124</f>
        <v/>
      </c>
      <c r="Y124" s="11">
        <f>R124+U124</f>
        <v/>
      </c>
      <c r="Z124" s="11">
        <f>S124+V124+X124</f>
        <v/>
      </c>
      <c r="AA124" s="11">
        <f>Q124+T124+W124</f>
        <v/>
      </c>
      <c r="AB124" s="11">
        <f>F124-Y124</f>
        <v/>
      </c>
      <c r="AC124" s="9" t="n"/>
      <c r="AD124" s="12">
        <f>IF(AC124="","",AA124-AC124)</f>
        <v/>
      </c>
    </row>
    <row r="125">
      <c r="A125" s="2" t="n">
        <v>2026</v>
      </c>
      <c r="B125" s="2" t="n">
        <v>9</v>
      </c>
      <c r="C125" s="8">
        <f>IF(設定!$B$3="","",DATEDIF(設定!$B$3,EOMONTH(DATE(A125,B125,1),0),"Y"))</f>
        <v/>
      </c>
      <c r="D125" s="8">
        <f>IF(設定!$B$3="",FALSE,AND(EOMONTH(DATE(A125,B125,1),0)&gt;=DATE(YEAR(設定!$B$3)+40,MONTH(設定!$B$3),DAY(設定!$B$3))-1,EOMONTH(DATE(A125,B125,1),0)&lt;DATE(YEAR(設定!$B$3)+65,MONTH(設定!$B$3),DAY(設定!$B$3))-1))</f>
        <v/>
      </c>
      <c r="E125" s="9" t="n">
        <v>88000</v>
      </c>
      <c r="F125" s="9" t="n">
        <v>83000</v>
      </c>
      <c r="G125" s="10">
        <f>XLOOKUP(DATE(A125,B125,1),料率マスタ!$A:$A,料率マスタ!$B:$B,,-1,-1)</f>
        <v/>
      </c>
      <c r="H125" s="10">
        <f>XLOOKUP(DATE(A125,B125,1),料率マスタ!$A:$A,料率マスタ!$C:$C,,-1,-1)</f>
        <v/>
      </c>
      <c r="I125" s="10">
        <f>XLOOKUP(DATE(A125,B125,1),料率マスタ!$A:$A,料率マスタ!$D:$D,,-1,-1)</f>
        <v/>
      </c>
      <c r="J125" s="10">
        <f>XLOOKUP(DATE(A125,B125,1),料率マスタ!$A:$A,料率マスタ!$E:$E,,-1,-1)</f>
        <v/>
      </c>
      <c r="K125" s="10">
        <f>XLOOKUP(DATE(A125,B125,1),料率マスタ!$A:$A,料率マスタ!$F:$F,,-1,-1)</f>
        <v/>
      </c>
      <c r="L125" s="10">
        <f>G125+IF(D125,H125,0)</f>
        <v/>
      </c>
      <c r="M125" s="11">
        <f>E125*L125</f>
        <v/>
      </c>
      <c r="N125" s="11">
        <f>E125*K125</f>
        <v/>
      </c>
      <c r="O125" s="11">
        <f>E125*I125</f>
        <v/>
      </c>
      <c r="P125" s="11">
        <f>ROUNDDOWN(E125*J125,0)</f>
        <v/>
      </c>
      <c r="Q125" s="11">
        <f>ROUNDDOWN(ROUND(M125+N125,2),0)</f>
        <v/>
      </c>
      <c r="R125" s="11">
        <f>INT(M125/2)+IF(MOD(M125,2)&gt;1,1,0)+INT(N125/2)+IF(MOD(N125,2)&gt;1,1,0)</f>
        <v/>
      </c>
      <c r="S125" s="11">
        <f>Q125-R125</f>
        <v/>
      </c>
      <c r="T125" s="11">
        <f>ROUNDDOWN(O125,0)</f>
        <v/>
      </c>
      <c r="U125" s="11">
        <f>INT(O125/2)+IF(MOD(O125,2)&gt;1,1,0)</f>
        <v/>
      </c>
      <c r="V125" s="11">
        <f>T125-U125</f>
        <v/>
      </c>
      <c r="W125" s="11">
        <f>P125</f>
        <v/>
      </c>
      <c r="X125" s="11">
        <f>W125</f>
        <v/>
      </c>
      <c r="Y125" s="11">
        <f>R125+U125</f>
        <v/>
      </c>
      <c r="Z125" s="11">
        <f>S125+V125+X125</f>
        <v/>
      </c>
      <c r="AA125" s="11">
        <f>Q125+T125+W125</f>
        <v/>
      </c>
      <c r="AB125" s="11">
        <f>F125-Y125</f>
        <v/>
      </c>
      <c r="AC125" s="9" t="n"/>
      <c r="AD125" s="12">
        <f>IF(AC125="","",AA125-AC125)</f>
        <v/>
      </c>
    </row>
    <row r="126">
      <c r="A126" s="2" t="n">
        <v>2026</v>
      </c>
      <c r="B126" s="2" t="n">
        <v>10</v>
      </c>
      <c r="C126" s="8">
        <f>IF(設定!$B$3="","",DATEDIF(設定!$B$3,EOMONTH(DATE(A126,B126,1),0),"Y"))</f>
        <v/>
      </c>
      <c r="D126" s="8">
        <f>IF(設定!$B$3="",FALSE,AND(EOMONTH(DATE(A126,B126,1),0)&gt;=DATE(YEAR(設定!$B$3)+40,MONTH(設定!$B$3),DAY(設定!$B$3))-1,EOMONTH(DATE(A126,B126,1),0)&lt;DATE(YEAR(設定!$B$3)+65,MONTH(設定!$B$3),DAY(設定!$B$3))-1))</f>
        <v/>
      </c>
      <c r="E126" s="9" t="n">
        <v>88000</v>
      </c>
      <c r="F126" s="9" t="n">
        <v>83000</v>
      </c>
      <c r="G126" s="10">
        <f>XLOOKUP(DATE(A126,B126,1),料率マスタ!$A:$A,料率マスタ!$B:$B,,-1,-1)</f>
        <v/>
      </c>
      <c r="H126" s="10">
        <f>XLOOKUP(DATE(A126,B126,1),料率マスタ!$A:$A,料率マスタ!$C:$C,,-1,-1)</f>
        <v/>
      </c>
      <c r="I126" s="10">
        <f>XLOOKUP(DATE(A126,B126,1),料率マスタ!$A:$A,料率マスタ!$D:$D,,-1,-1)</f>
        <v/>
      </c>
      <c r="J126" s="10">
        <f>XLOOKUP(DATE(A126,B126,1),料率マスタ!$A:$A,料率マスタ!$E:$E,,-1,-1)</f>
        <v/>
      </c>
      <c r="K126" s="10">
        <f>XLOOKUP(DATE(A126,B126,1),料率マスタ!$A:$A,料率マスタ!$F:$F,,-1,-1)</f>
        <v/>
      </c>
      <c r="L126" s="10">
        <f>G126+IF(D126,H126,0)</f>
        <v/>
      </c>
      <c r="M126" s="11">
        <f>E126*L126</f>
        <v/>
      </c>
      <c r="N126" s="11">
        <f>E126*K126</f>
        <v/>
      </c>
      <c r="O126" s="11">
        <f>E126*I126</f>
        <v/>
      </c>
      <c r="P126" s="11">
        <f>ROUNDDOWN(E126*J126,0)</f>
        <v/>
      </c>
      <c r="Q126" s="11">
        <f>ROUNDDOWN(ROUND(M126+N126,2),0)</f>
        <v/>
      </c>
      <c r="R126" s="11">
        <f>INT(M126/2)+IF(MOD(M126,2)&gt;1,1,0)+INT(N126/2)+IF(MOD(N126,2)&gt;1,1,0)</f>
        <v/>
      </c>
      <c r="S126" s="11">
        <f>Q126-R126</f>
        <v/>
      </c>
      <c r="T126" s="11">
        <f>ROUNDDOWN(O126,0)</f>
        <v/>
      </c>
      <c r="U126" s="11">
        <f>INT(O126/2)+IF(MOD(O126,2)&gt;1,1,0)</f>
        <v/>
      </c>
      <c r="V126" s="11">
        <f>T126-U126</f>
        <v/>
      </c>
      <c r="W126" s="11">
        <f>P126</f>
        <v/>
      </c>
      <c r="X126" s="11">
        <f>W126</f>
        <v/>
      </c>
      <c r="Y126" s="11">
        <f>R126+U126</f>
        <v/>
      </c>
      <c r="Z126" s="11">
        <f>S126+V126+X126</f>
        <v/>
      </c>
      <c r="AA126" s="11">
        <f>Q126+T126+W126</f>
        <v/>
      </c>
      <c r="AB126" s="11">
        <f>F126-Y126</f>
        <v/>
      </c>
      <c r="AC126" s="9" t="n"/>
      <c r="AD126" s="12">
        <f>IF(AC126="","",AA126-AC126)</f>
        <v/>
      </c>
    </row>
    <row r="127">
      <c r="A127" s="2" t="n">
        <v>2026</v>
      </c>
      <c r="B127" s="2" t="n">
        <v>11</v>
      </c>
      <c r="C127" s="8">
        <f>IF(設定!$B$3="","",DATEDIF(設定!$B$3,EOMONTH(DATE(A127,B127,1),0),"Y"))</f>
        <v/>
      </c>
      <c r="D127" s="8">
        <f>IF(設定!$B$3="",FALSE,AND(EOMONTH(DATE(A127,B127,1),0)&gt;=DATE(YEAR(設定!$B$3)+40,MONTH(設定!$B$3),DAY(設定!$B$3))-1,EOMONTH(DATE(A127,B127,1),0)&lt;DATE(YEAR(設定!$B$3)+65,MONTH(設定!$B$3),DAY(設定!$B$3))-1))</f>
        <v/>
      </c>
      <c r="E127" s="9" t="n">
        <v>88000</v>
      </c>
      <c r="F127" s="9" t="n">
        <v>83000</v>
      </c>
      <c r="G127" s="10">
        <f>XLOOKUP(DATE(A127,B127,1),料率マスタ!$A:$A,料率マスタ!$B:$B,,-1,-1)</f>
        <v/>
      </c>
      <c r="H127" s="10">
        <f>XLOOKUP(DATE(A127,B127,1),料率マスタ!$A:$A,料率マスタ!$C:$C,,-1,-1)</f>
        <v/>
      </c>
      <c r="I127" s="10">
        <f>XLOOKUP(DATE(A127,B127,1),料率マスタ!$A:$A,料率マスタ!$D:$D,,-1,-1)</f>
        <v/>
      </c>
      <c r="J127" s="10">
        <f>XLOOKUP(DATE(A127,B127,1),料率マスタ!$A:$A,料率マスタ!$E:$E,,-1,-1)</f>
        <v/>
      </c>
      <c r="K127" s="10">
        <f>XLOOKUP(DATE(A127,B127,1),料率マスタ!$A:$A,料率マスタ!$F:$F,,-1,-1)</f>
        <v/>
      </c>
      <c r="L127" s="10">
        <f>G127+IF(D127,H127,0)</f>
        <v/>
      </c>
      <c r="M127" s="11">
        <f>E127*L127</f>
        <v/>
      </c>
      <c r="N127" s="11">
        <f>E127*K127</f>
        <v/>
      </c>
      <c r="O127" s="11">
        <f>E127*I127</f>
        <v/>
      </c>
      <c r="P127" s="11">
        <f>ROUNDDOWN(E127*J127,0)</f>
        <v/>
      </c>
      <c r="Q127" s="11">
        <f>ROUNDDOWN(ROUND(M127+N127,2),0)</f>
        <v/>
      </c>
      <c r="R127" s="11">
        <f>INT(M127/2)+IF(MOD(M127,2)&gt;1,1,0)+INT(N127/2)+IF(MOD(N127,2)&gt;1,1,0)</f>
        <v/>
      </c>
      <c r="S127" s="11">
        <f>Q127-R127</f>
        <v/>
      </c>
      <c r="T127" s="11">
        <f>ROUNDDOWN(O127,0)</f>
        <v/>
      </c>
      <c r="U127" s="11">
        <f>INT(O127/2)+IF(MOD(O127,2)&gt;1,1,0)</f>
        <v/>
      </c>
      <c r="V127" s="11">
        <f>T127-U127</f>
        <v/>
      </c>
      <c r="W127" s="11">
        <f>P127</f>
        <v/>
      </c>
      <c r="X127" s="11">
        <f>W127</f>
        <v/>
      </c>
      <c r="Y127" s="11">
        <f>R127+U127</f>
        <v/>
      </c>
      <c r="Z127" s="11">
        <f>S127+V127+X127</f>
        <v/>
      </c>
      <c r="AA127" s="11">
        <f>Q127+T127+W127</f>
        <v/>
      </c>
      <c r="AB127" s="11">
        <f>F127-Y127</f>
        <v/>
      </c>
      <c r="AC127" s="9" t="n"/>
      <c r="AD127" s="12">
        <f>IF(AC127="","",AA127-AC127)</f>
        <v/>
      </c>
    </row>
    <row r="128">
      <c r="A128" s="2" t="n">
        <v>2026</v>
      </c>
      <c r="B128" s="2" t="n">
        <v>12</v>
      </c>
      <c r="C128" s="8">
        <f>IF(設定!$B$3="","",DATEDIF(設定!$B$3,EOMONTH(DATE(A128,B128,1),0),"Y"))</f>
        <v/>
      </c>
      <c r="D128" s="8">
        <f>IF(設定!$B$3="",FALSE,AND(EOMONTH(DATE(A128,B128,1),0)&gt;=DATE(YEAR(設定!$B$3)+40,MONTH(設定!$B$3),DAY(設定!$B$3))-1,EOMONTH(DATE(A128,B128,1),0)&lt;DATE(YEAR(設定!$B$3)+65,MONTH(設定!$B$3),DAY(設定!$B$3))-1))</f>
        <v/>
      </c>
      <c r="E128" s="9" t="n">
        <v>88000</v>
      </c>
      <c r="F128" s="9" t="n">
        <v>83000</v>
      </c>
      <c r="G128" s="10">
        <f>XLOOKUP(DATE(A128,B128,1),料率マスタ!$A:$A,料率マスタ!$B:$B,,-1,-1)</f>
        <v/>
      </c>
      <c r="H128" s="10">
        <f>XLOOKUP(DATE(A128,B128,1),料率マスタ!$A:$A,料率マスタ!$C:$C,,-1,-1)</f>
        <v/>
      </c>
      <c r="I128" s="10">
        <f>XLOOKUP(DATE(A128,B128,1),料率マスタ!$A:$A,料率マスタ!$D:$D,,-1,-1)</f>
        <v/>
      </c>
      <c r="J128" s="10">
        <f>XLOOKUP(DATE(A128,B128,1),料率マスタ!$A:$A,料率マスタ!$E:$E,,-1,-1)</f>
        <v/>
      </c>
      <c r="K128" s="10">
        <f>XLOOKUP(DATE(A128,B128,1),料率マスタ!$A:$A,料率マスタ!$F:$F,,-1,-1)</f>
        <v/>
      </c>
      <c r="L128" s="10">
        <f>G128+IF(D128,H128,0)</f>
        <v/>
      </c>
      <c r="M128" s="11">
        <f>E128*L128</f>
        <v/>
      </c>
      <c r="N128" s="11">
        <f>E128*K128</f>
        <v/>
      </c>
      <c r="O128" s="11">
        <f>E128*I128</f>
        <v/>
      </c>
      <c r="P128" s="11">
        <f>ROUNDDOWN(E128*J128,0)</f>
        <v/>
      </c>
      <c r="Q128" s="11">
        <f>ROUNDDOWN(ROUND(M128+N128,2),0)</f>
        <v/>
      </c>
      <c r="R128" s="11">
        <f>INT(M128/2)+IF(MOD(M128,2)&gt;1,1,0)+INT(N128/2)+IF(MOD(N128,2)&gt;1,1,0)</f>
        <v/>
      </c>
      <c r="S128" s="11">
        <f>Q128-R128</f>
        <v/>
      </c>
      <c r="T128" s="11">
        <f>ROUNDDOWN(O128,0)</f>
        <v/>
      </c>
      <c r="U128" s="11">
        <f>INT(O128/2)+IF(MOD(O128,2)&gt;1,1,0)</f>
        <v/>
      </c>
      <c r="V128" s="11">
        <f>T128-U128</f>
        <v/>
      </c>
      <c r="W128" s="11">
        <f>P128</f>
        <v/>
      </c>
      <c r="X128" s="11">
        <f>W128</f>
        <v/>
      </c>
      <c r="Y128" s="11">
        <f>R128+U128</f>
        <v/>
      </c>
      <c r="Z128" s="11">
        <f>S128+V128+X128</f>
        <v/>
      </c>
      <c r="AA128" s="11">
        <f>Q128+T128+W128</f>
        <v/>
      </c>
      <c r="AB128" s="11">
        <f>F128-Y128</f>
        <v/>
      </c>
      <c r="AC128" s="9" t="n"/>
      <c r="AD128" s="12">
        <f>IF(AC128="","",AA128-AC128)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2026-05-26T12:56:30Z</dcterms:created>
  <dcterms:modified xsi:type="dcterms:W3CDTF">2026-05-26T12:56:30Z</dcterms:modified>
</cp:coreProperties>
</file>